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ivarnik\Desktop\GIT\MTOM\Output Data\"/>
    </mc:Choice>
  </mc:AlternateContent>
  <xr:revisionPtr revIDLastSave="0" documentId="13_ncr:1_{F83A12A1-55C9-4D08-B1CC-D66653D16A51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Compare_Data!$N$4:$N$28</definedName>
    <definedName name="Diff_BM_In">Compare_Data!$O$4:$O$28</definedName>
    <definedName name="Diff_BM_Out">Compare_Data!$Q$4:$Q$28</definedName>
    <definedName name="Diff_BM_Spill">Compare_Data!$R$4:$R$28</definedName>
    <definedName name="Diff_BMIn_Unreg">Compare_Data!$P$4:$P$28</definedName>
    <definedName name="Diff_CAP_DivReq">Compare_Data!$AV$4:$AV$28</definedName>
    <definedName name="Diff_Cry_Elev">Compare_Data!$S$4:$S$28</definedName>
    <definedName name="Diff_Cry_Out">Compare_Data!$T$4:$T$28</definedName>
    <definedName name="Diff_Cry_Spill">Compare_Data!$U$4:$U$28</definedName>
    <definedName name="Diff_FG_Elev">Compare_Data!$F$4:$F$28</definedName>
    <definedName name="Diff_FG_In">Compare_Data!$G$4:$G$28</definedName>
    <definedName name="Diff_FG_Out">Compare_Data!$I$4:$I$28</definedName>
    <definedName name="Diff_FG_Spill">Compare_Data!$J$4:$J$28</definedName>
    <definedName name="Diff_FGIn_Unreg">Compare_Data!$H$4:$H$28</definedName>
    <definedName name="Diff_Font_Elev">Compare_Data!$B$4:$B$28</definedName>
    <definedName name="Diff_Font_In">Compare_Data!$C$4:$C$28</definedName>
    <definedName name="Diff_Font_Out">Compare_Data!$D$4:$D$28</definedName>
    <definedName name="Diff_Font_Spill">Compare_Data!$E$4:$E$28</definedName>
    <definedName name="Diff_Hav_Egy">Compare_Data!$AS$4:$AS$28</definedName>
    <definedName name="Diff_Hav_Elev">Compare_Data!$AQ$4:$AQ$28</definedName>
    <definedName name="Diff_Hav_Out">Compare_Data!$AR$4:$AR$28</definedName>
    <definedName name="Diff_Md_Egy">Compare_Data!$AM$4:$AM$28</definedName>
    <definedName name="Diff_Md_Elev">Compare_Data!$AK$4:$AK$28</definedName>
    <definedName name="Diff_Md_Out">Compare_Data!$AL$4:$AL$28</definedName>
    <definedName name="Diff_Mo_Egy">Compare_Data!$AP$4:$AP$28</definedName>
    <definedName name="Diff_Mo_Elev">Compare_Data!$AN$4:$AN$28</definedName>
    <definedName name="Diff_Mo_Out">Compare_Data!$AO$4:$AO$28</definedName>
    <definedName name="Diff_MWD_DivReq">Compare_Data!$AU$4:$AU$28</definedName>
    <definedName name="Diff_Nav_Elev">Compare_Data!$Y$4:$Y$28</definedName>
    <definedName name="Diff_Nav_In">Compare_Data!$Z$4:$Z$28</definedName>
    <definedName name="Diff_Nav_Out">Compare_Data!$AB$4:$AB$28</definedName>
    <definedName name="Diff_Nav_Spill">Compare_Data!$AC$4:$AC$28</definedName>
    <definedName name="Diff_NavIn_Unreg">Compare_Data!$AA$4:$AA$28</definedName>
    <definedName name="Diff_Pow_Elev">Compare_Data!$AD$4:$AD$28</definedName>
    <definedName name="Diff_Pow_Evap">Compare_Data!$AH$4:$AH$28</definedName>
    <definedName name="Diff_Pow_In">Compare_Data!$AF$4:$AF$28</definedName>
    <definedName name="Diff_Pow_Out">Compare_Data!$AI$4:$AI$28</definedName>
    <definedName name="Diff_Pow_Spill">Compare_Data!$AJ$4:$AJ$28</definedName>
    <definedName name="Diff_Pow_Storage">Compare_Data!$AE$4:$AE$28</definedName>
    <definedName name="Diff_PowIn_Unreg">Compare_Data!$AG$4:$AG$28</definedName>
    <definedName name="Diff_SNWP_DivReq">Compare_Data!$AT$4:$AT$28</definedName>
    <definedName name="Diff_Time">Compare_Data!$A$4:$A$27</definedName>
    <definedName name="Diff_TP_Elev">Compare_Data!$K$4:$K$28</definedName>
    <definedName name="Diff_TP_In">Compare_Data!$L$4:$L$28</definedName>
    <definedName name="Diff_TP_Out">Compare_Data!$M$4:$M$28</definedName>
    <definedName name="Diff_Val_Elev">Compare_Data!$V$4:$V$28</definedName>
    <definedName name="Diff_Val_In">Compare_Data!$W$4:$W$28</definedName>
    <definedName name="Diff_Val_Out">Compare_Data!$X$4:$X$28</definedName>
    <definedName name="Elevation">MTOM_Data!$B$4:$B$27</definedName>
    <definedName name="MOMTime">MTOM_Data!$A$4:$A$27</definedName>
    <definedName name="MTPO_BM_Elev">MTOM_Data!$N$4:$N$28</definedName>
    <definedName name="MTPO_BM_In">MTOM_Data!$O$4:$O$28</definedName>
    <definedName name="MTPO_BM_Out">MTOM_Data!$Q$4:$Q$28</definedName>
    <definedName name="MTPO_BM_Spill">MTOM_Data!$R$4:$R$28</definedName>
    <definedName name="MTPO_BMIn_Unreg">MTOM_Data!$P$4:$P$28</definedName>
    <definedName name="MTPO_CAP_DivReq">MTOM_Data!$AV$4:$AV$28</definedName>
    <definedName name="MTPO_Cry_Elev">MTOM_Data!$S$4:$S$28</definedName>
    <definedName name="MTPO_Cry_Out">MTOM_Data!$T$4:$T$28</definedName>
    <definedName name="MTPO_Cry_Spill">MTOM_Data!$U$4:$U$28</definedName>
    <definedName name="MTPO_FG_Elev">MTOM_Data!$F$4:$F$28</definedName>
    <definedName name="MTPO_FG_In">MTOM_Data!$G$4:$G$28</definedName>
    <definedName name="MTPO_FG_Out">MTOM_Data!$I$4:$I$28</definedName>
    <definedName name="MTPO_FG_Spill">MTOM_Data!$J$4:$J$28</definedName>
    <definedName name="MTPO_FGIn_Unreg">MTOM_Data!$H$4:$H$28</definedName>
    <definedName name="MTPO_Font_Elev">MTOM_Data!$B$4:$B$28</definedName>
    <definedName name="MTPO_Font_In">MTOM_Data!$C$4:$C$28</definedName>
    <definedName name="MTPO_Font_Out">MTOM_Data!$D$4:$D$28</definedName>
    <definedName name="MTPO_Font_Spill">MTOM_Data!$E$4:$E$28</definedName>
    <definedName name="MTPO_Hav_Egy">MTOM_Data!$AS$4:$AS$28</definedName>
    <definedName name="MTPO_Hav_Elev">MTOM_Data!$AQ$4:$AQ$28</definedName>
    <definedName name="MTPO_Hav_Out">MTOM_Data!$AR$4:$AR$28</definedName>
    <definedName name="MTPO_Md_Egy">MTOM_Data!$AM$4:$AM$28</definedName>
    <definedName name="MTPO_Md_Elev">MTOM_Data!$AK$4:$AK$28</definedName>
    <definedName name="MTPO_Md_Out">MTOM_Data!$AL$4:$AL$28</definedName>
    <definedName name="MTPO_Mo_Egy">MTOM_Data!$AP$4:$AP$28</definedName>
    <definedName name="MTPO_Mo_Elev">MTOM_Data!$AN$4:$AN$28</definedName>
    <definedName name="MTPO_Mo_Out">MTOM_Data!$AO$4:$AO$28</definedName>
    <definedName name="MTPO_MWD_DivReq">MTOM_Data!$AU$4:$AU$28</definedName>
    <definedName name="MTPO_Nav_Elev">MTOM_Data!$Y$4:$Y$28</definedName>
    <definedName name="MTPO_Nav_In">MTOM_Data!$Z$4:$Z$28</definedName>
    <definedName name="MTPO_Nav_Out">MTOM_Data!$AB$4:$AB$28</definedName>
    <definedName name="MTPO_Nav_Spill">MTOM_Data!$AC$4:$AC$28</definedName>
    <definedName name="MTPO_NavIn_Unreg">MTOM_Data!$AA$4:$AA$28</definedName>
    <definedName name="MTPO_Pow_Elev">MTOM_Data!$AD$4:$AD$28</definedName>
    <definedName name="MTPO_Pow_Evap">MTOM_Data!$AH$4:$AH$28</definedName>
    <definedName name="MTPO_Pow_In">MTOM_Data!$AF$4:$AF$28</definedName>
    <definedName name="MTPO_Pow_Out">MTOM_Data!$AI$4:$AI$28</definedName>
    <definedName name="MTPO_Pow_Spill">MTOM_Data!$AJ$4:$AJ$28</definedName>
    <definedName name="MTPO_Pow_Storage">MTOM_Data!$AE$4:$AE$28</definedName>
    <definedName name="MTPO_PowIn_Unreg">MTOM_Data!$AG$4:$AG$28</definedName>
    <definedName name="MTPO_SNWP_DivReq">MTOM_Data!$AT$4:$AT$28</definedName>
    <definedName name="MTPO_TP_Elev">MTOM_Data!$K$4:$K$28</definedName>
    <definedName name="MTPO_TP_In">MTOM_Data!$L$4:$L$28</definedName>
    <definedName name="MTPO_TP_Out">MTOM_Data!$M$4:$M$28</definedName>
    <definedName name="MTPO_Val_Elev">MTOM_Data!$V$4:$V$28</definedName>
    <definedName name="MTPO_Val_In">MTOM_Data!$W$4:$W$28</definedName>
    <definedName name="MTPO_Val_Out">MTOM_Data!$X$4:$X$28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'24MS_Data'!$N$4:$N$28</definedName>
    <definedName name="TFMS_BM_In">'24MS_Data'!$O$4:$O$28</definedName>
    <definedName name="TFMS_BM_Out">'24MS_Data'!$Q$4:$Q$28</definedName>
    <definedName name="TFMS_BM_Spill">'24MS_Data'!$R$4:$R$28</definedName>
    <definedName name="TFMS_BMIn_Unreg">'24MS_Data'!$P$4:$P$28</definedName>
    <definedName name="TFMS_CAP_DivReq">'24MS_Data'!$AV$4:$AV$28</definedName>
    <definedName name="TFMS_Cry_Elev">'24MS_Data'!$S$4:$S$28</definedName>
    <definedName name="TFMS_Cry_Out">'24MS_Data'!$T$4:$T$28</definedName>
    <definedName name="TFMS_Cry_Spill">'24MS_Data'!$U$4:$U$28</definedName>
    <definedName name="TFMS_FG_Elev">'24MS_Data'!$F$4:$F$28</definedName>
    <definedName name="TFMS_FG_In">'24MS_Data'!$G$4:$G$28</definedName>
    <definedName name="TFMS_FG_Out">'24MS_Data'!$I$4:$I$28</definedName>
    <definedName name="TFMS_FG_Spill">'24MS_Data'!$J$4:$J$28</definedName>
    <definedName name="TFMS_FGIn_Unreg">'24MS_Data'!$H$4:$H$28</definedName>
    <definedName name="TFMS_Font_Elev">'24MS_Data'!$B$4:$B$28</definedName>
    <definedName name="TFMS_Font_In">'24MS_Data'!$C$4:$C$28</definedName>
    <definedName name="TFMS_Font_Out">'24MS_Data'!$D$4:$D$28</definedName>
    <definedName name="TFMS_Font_Spill">'24MS_Data'!$E$4:$E$28</definedName>
    <definedName name="TFMS_Hav_Egy">'24MS_Data'!$AS$4:$AS$28</definedName>
    <definedName name="TFMS_Hav_Elev">'24MS_Data'!$AQ$4:$AQ$28</definedName>
    <definedName name="TFMS_Hav_Out">'24MS_Data'!$AR$4:$AR$28</definedName>
    <definedName name="TFMS_Md_Egy">'24MS_Data'!$AM$4:$AM$28</definedName>
    <definedName name="TFMS_Md_Elev">'24MS_Data'!$AK$4:$AK$28</definedName>
    <definedName name="TFMS_Md_Out">'24MS_Data'!$AL$4:$AL$28</definedName>
    <definedName name="TFMS_Mo_Egy">'24MS_Data'!$AP$4:$AP$28</definedName>
    <definedName name="TFMS_Mo_Elev">'24MS_Data'!$AN$4:$AN$28</definedName>
    <definedName name="TFMS_Mo_Out">'24MS_Data'!$AO$4:$AO$28</definedName>
    <definedName name="TFMS_MWD_DivReq">'24MS_Data'!$AU$4:$AU$28</definedName>
    <definedName name="TFMS_Nav_Elev">'24MS_Data'!$Y$4:$Y$28</definedName>
    <definedName name="TFMS_Nav_In">'24MS_Data'!$Z$4:$Z$28</definedName>
    <definedName name="TFMS_Nav_Out">'24MS_Data'!$AB$4:$AB$28</definedName>
    <definedName name="TFMS_Nav_Spill">'24MS_Data'!$AC$4:$AC$28</definedName>
    <definedName name="TFMS_NavIn_Unreg">'24MS_Data'!$AA$4:$AA$28</definedName>
    <definedName name="TFMS_Pow_Elev">'24MS_Data'!$AD$4:$AD$28</definedName>
    <definedName name="TFMS_Pow_Evap">'24MS_Data'!$AH$4:$AH$28</definedName>
    <definedName name="TFMS_Pow_In">'24MS_Data'!$AF$4:$AF$28</definedName>
    <definedName name="TFMS_Pow_Out">'24MS_Data'!$AI$4:$AI$28</definedName>
    <definedName name="TFMS_Pow_Spill">'24MS_Data'!$AJ$4:$AJ$28</definedName>
    <definedName name="TFMS_Pow_Storage">'24MS_Data'!$AE$4:$AE$28</definedName>
    <definedName name="TFMS_PowIn_Unreg">'24MS_Data'!$AG$4:$AG$28</definedName>
    <definedName name="TFMS_SNWP_DivReq">'24MS_Data'!$AT$4:$AT$28</definedName>
    <definedName name="TFMS_TP_Elev">'24MS_Data'!$K$4:$K$28</definedName>
    <definedName name="TFMS_TP_In">'24MS_Data'!$L$4:$L$28</definedName>
    <definedName name="TFMS_TP_Out">'24MS_Data'!$M$4:$M$28</definedName>
    <definedName name="TFMS_Val_Elev">'24MS_Data'!$V$4:$V$28</definedName>
    <definedName name="TFMS_Val_In">'24MS_Data'!$W$4:$W$28</definedName>
    <definedName name="TFMS_Val_Out">'24MS_Data'!$X$4:$X$28</definedName>
    <definedName name="TFTime">'24MS_Data'!$A$4:$A$35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7" i="6" l="1"/>
  <c r="C38" i="6" s="1"/>
  <c r="A2" i="6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V9" i="3"/>
  <c r="AU9" i="3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V5" i="3"/>
  <c r="AU5" i="3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A4" i="6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D6" i="4"/>
  <c r="AD5" i="4"/>
  <c r="A4" i="2" s="1"/>
  <c r="AD3" i="4"/>
  <c r="C6" i="4" s="1"/>
  <c r="AD2" i="4"/>
  <c r="AD9" i="4" s="1"/>
  <c r="C7" i="4" l="1"/>
  <c r="D37" i="6"/>
  <c r="Q39" i="2"/>
  <c r="A5" i="2"/>
  <c r="N39" i="2"/>
  <c r="A5" i="3"/>
  <c r="A38" i="6"/>
  <c r="B38" i="6"/>
  <c r="Q40" i="2" l="1"/>
  <c r="A6" i="2"/>
  <c r="A6" i="3"/>
  <c r="A5" i="6"/>
  <c r="A6" i="6" l="1"/>
  <c r="A7" i="3"/>
  <c r="Q41" i="2"/>
  <c r="A7" i="2"/>
  <c r="Q42" i="2" l="1"/>
  <c r="A8" i="2"/>
  <c r="A7" i="6"/>
  <c r="A8" i="3"/>
  <c r="A8" i="6" l="1"/>
  <c r="A9" i="3"/>
  <c r="Q43" i="2"/>
  <c r="A9" i="2"/>
  <c r="A10" i="2" l="1"/>
  <c r="Q44" i="2"/>
  <c r="A9" i="6"/>
  <c r="A10" i="3"/>
  <c r="Q45" i="2" l="1"/>
  <c r="A11" i="2"/>
  <c r="A10" i="6"/>
  <c r="A11" i="3"/>
  <c r="A11" i="6" l="1"/>
  <c r="A12" i="3"/>
  <c r="Q46" i="2"/>
  <c r="A12" i="2"/>
  <c r="Q47" i="2" l="1"/>
  <c r="A13" i="2"/>
  <c r="A12" i="6"/>
  <c r="A13" i="3"/>
  <c r="A13" i="6" l="1"/>
  <c r="A14" i="3"/>
  <c r="Q48" i="2"/>
  <c r="A14" i="2"/>
  <c r="Q49" i="2" l="1"/>
  <c r="A15" i="2"/>
  <c r="A14" i="6"/>
  <c r="A15" i="3"/>
  <c r="A15" i="6" l="1"/>
  <c r="A16" i="3"/>
  <c r="Q50" i="2"/>
  <c r="A16" i="2"/>
  <c r="A17" i="2" l="1"/>
  <c r="Q51" i="2"/>
  <c r="A16" i="6"/>
  <c r="A17" i="3"/>
  <c r="A17" i="6" l="1"/>
  <c r="A18" i="3"/>
  <c r="Q52" i="2"/>
  <c r="A18" i="2"/>
  <c r="A18" i="6" l="1"/>
  <c r="A19" i="3"/>
  <c r="Q53" i="2"/>
  <c r="A19" i="2"/>
  <c r="Q54" i="2" l="1"/>
  <c r="A20" i="2"/>
  <c r="A20" i="3"/>
  <c r="A19" i="6"/>
  <c r="Q55" i="2" l="1"/>
  <c r="A21" i="2"/>
  <c r="A20" i="6"/>
  <c r="A21" i="3"/>
  <c r="A21" i="6" l="1"/>
  <c r="A22" i="3"/>
  <c r="Q56" i="2"/>
  <c r="A22" i="2"/>
  <c r="Q57" i="2" l="1"/>
  <c r="A23" i="2"/>
  <c r="A22" i="6"/>
  <c r="A23" i="3"/>
  <c r="A24" i="3" l="1"/>
  <c r="A23" i="6"/>
  <c r="Q58" i="2"/>
  <c r="A24" i="2"/>
  <c r="Q59" i="2" l="1"/>
  <c r="A25" i="2"/>
  <c r="A24" i="6"/>
  <c r="A25" i="3"/>
  <c r="A25" i="6" l="1"/>
  <c r="A26" i="3"/>
  <c r="A26" i="2"/>
  <c r="Q60" i="2"/>
  <c r="Q61" i="2" l="1"/>
  <c r="A27" i="2"/>
  <c r="A26" i="6"/>
  <c r="A27" i="3"/>
  <c r="A28" i="3" l="1"/>
  <c r="A27" i="6"/>
  <c r="Q62" i="2"/>
  <c r="A28" i="2"/>
  <c r="Q63" i="2" l="1"/>
  <c r="A29" i="2"/>
  <c r="A30" i="2" s="1"/>
  <c r="A31" i="2" s="1"/>
  <c r="A32" i="2" s="1"/>
  <c r="A33" i="2" s="1"/>
  <c r="A34" i="2" s="1"/>
  <c r="A35" i="2" s="1"/>
  <c r="A28" i="6"/>
  <c r="A29" i="3"/>
  <c r="A29" i="6" l="1"/>
  <c r="A30" i="3"/>
  <c r="D38" i="6"/>
  <c r="D28" i="6"/>
  <c r="A30" i="6" l="1"/>
  <c r="A31" i="3"/>
  <c r="D29" i="6"/>
  <c r="C29" i="6"/>
  <c r="B29" i="6"/>
  <c r="D4" i="6"/>
  <c r="D6" i="6"/>
  <c r="D9" i="6"/>
  <c r="D12" i="6"/>
  <c r="B14" i="6"/>
  <c r="C17" i="6"/>
  <c r="D20" i="6"/>
  <c r="C22" i="6"/>
  <c r="B25" i="6"/>
  <c r="B28" i="6"/>
  <c r="D7" i="6"/>
  <c r="C9" i="6"/>
  <c r="C12" i="6"/>
  <c r="D15" i="6"/>
  <c r="B17" i="6"/>
  <c r="C20" i="6"/>
  <c r="C23" i="6"/>
  <c r="C28" i="6"/>
  <c r="D8" i="6"/>
  <c r="B10" i="6"/>
  <c r="B18" i="6"/>
  <c r="C24" i="6"/>
  <c r="C8" i="6"/>
  <c r="B13" i="6"/>
  <c r="B21" i="6"/>
  <c r="C4" i="6"/>
  <c r="C25" i="6"/>
  <c r="C5" i="6"/>
  <c r="C13" i="6"/>
  <c r="C21" i="6"/>
  <c r="B26" i="6"/>
  <c r="B5" i="6"/>
  <c r="C16" i="6"/>
  <c r="D24" i="6"/>
  <c r="C6" i="6"/>
  <c r="B11" i="6"/>
  <c r="C14" i="6"/>
  <c r="C19" i="6"/>
  <c r="B22" i="6"/>
  <c r="B4" i="6"/>
  <c r="C7" i="6"/>
  <c r="D10" i="6"/>
  <c r="B12" i="6"/>
  <c r="C15" i="6"/>
  <c r="C18" i="6"/>
  <c r="B20" i="6"/>
  <c r="B23" i="6"/>
  <c r="D26" i="6"/>
  <c r="D16" i="6"/>
  <c r="C27" i="6"/>
  <c r="D5" i="6"/>
  <c r="B7" i="6"/>
  <c r="C10" i="6"/>
  <c r="D13" i="6"/>
  <c r="B15" i="6"/>
  <c r="D18" i="6"/>
  <c r="D21" i="6"/>
  <c r="D23" i="6"/>
  <c r="C26" i="6"/>
  <c r="D11" i="6"/>
  <c r="D19" i="6"/>
  <c r="D27" i="6"/>
  <c r="B9" i="6"/>
  <c r="D17" i="6"/>
  <c r="D25" i="6"/>
  <c r="B6" i="6"/>
  <c r="B8" i="6"/>
  <c r="C11" i="6"/>
  <c r="D14" i="6"/>
  <c r="B16" i="6"/>
  <c r="B19" i="6"/>
  <c r="D22" i="6"/>
  <c r="B24" i="6"/>
  <c r="B27" i="6"/>
  <c r="H35" i="6" l="1"/>
  <c r="H37" i="6"/>
  <c r="H36" i="6"/>
  <c r="A31" i="6"/>
  <c r="A32" i="3"/>
  <c r="D30" i="6"/>
  <c r="C30" i="6"/>
  <c r="B30" i="6"/>
  <c r="D31" i="6" l="1"/>
  <c r="C31" i="6"/>
  <c r="B31" i="6"/>
  <c r="A32" i="6"/>
  <c r="A33" i="3"/>
  <c r="A33" i="6" l="1"/>
  <c r="A34" i="3"/>
  <c r="D32" i="6"/>
  <c r="C32" i="6"/>
  <c r="B32" i="6"/>
  <c r="A34" i="6" l="1"/>
  <c r="A35" i="3"/>
  <c r="A35" i="6" s="1"/>
  <c r="D33" i="6"/>
  <c r="C33" i="6"/>
  <c r="B33" i="6"/>
  <c r="D35" i="6" l="1"/>
  <c r="C35" i="6"/>
  <c r="B35" i="6"/>
  <c r="D34" i="6"/>
  <c r="C34" i="6"/>
  <c r="B34" i="6"/>
</calcChain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<sst xmlns="http://schemas.openxmlformats.org/spreadsheetml/2006/main" count="324" uniqueCount="156">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</sst>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09]mmmm\-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4"/>
      <color theme="4" tint="0.79995117038483843"/>
      <name val="Calibri"/>
      <family val="2"/>
      <scheme val="minor"/>
    </font>
    <font>
      <b/>
      <sz val="14"/>
      <color theme="5" tint="0.79995117038483843"/>
      <name val="Calibri"/>
      <family val="2"/>
      <scheme val="minor"/>
    </font>
    <font>
      <b/>
      <sz val="14"/>
      <color theme="6" tint="0.79995117038483843"/>
      <name val="Calibri"/>
      <family val="2"/>
      <scheme val="minor"/>
    </font>
    <font>
      <b/>
      <sz val="14"/>
      <color theme="3" tint="0.79995117038483843"/>
      <name val="Calibri"/>
      <family val="2"/>
      <scheme val="minor"/>
    </font>
    <font>
      <sz val="11"/>
      <color theme="1" tint="4.9073763237403485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6" tint="0.799951170384838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1" fillId="3" borderId="15" xfId="0" applyFont="1" applyFill="1" applyBorder="1"/>
    <xf numFmtId="0" fontId="1" fillId="6" borderId="14" xfId="0" applyFont="1" applyFill="1" applyBorder="1"/>
    <xf numFmtId="0" fontId="0" fillId="3" borderId="7" xfId="0" applyFill="1" applyBorder="1"/>
    <xf numFmtId="0" fontId="0" fillId="3" borderId="10" xfId="0" applyFill="1" applyBorder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2" fontId="0" fillId="4" borderId="9" xfId="0" applyNumberFormat="1" applyFill="1" applyBorder="1"/>
    <xf numFmtId="2" fontId="0" fillId="4" borderId="11" xfId="0" applyNumberFormat="1" applyFill="1" applyBorder="1"/>
    <xf numFmtId="2" fontId="0" fillId="4" borderId="13" xfId="0" applyNumberFormat="1" applyFill="1" applyBorder="1"/>
    <xf numFmtId="2" fontId="0" fillId="4" borderId="10" xfId="0" applyNumberFormat="1" applyFill="1" applyBorder="1"/>
    <xf numFmtId="0" fontId="1" fillId="3" borderId="14" xfId="0" applyFont="1" applyFill="1" applyBorder="1"/>
    <xf numFmtId="0" fontId="1" fillId="3" borderId="6" xfId="0" applyFont="1" applyFill="1" applyBorder="1"/>
    <xf numFmtId="0" fontId="1" fillId="3" borderId="0" xfId="0" applyFont="1" applyFill="1" applyBorder="1"/>
    <xf numFmtId="0" fontId="1" fillId="3" borderId="12" xfId="0" applyFont="1" applyFill="1" applyBorder="1"/>
    <xf numFmtId="0" fontId="1" fillId="3" borderId="8" xfId="0" applyFont="1" applyFill="1" applyBorder="1"/>
    <xf numFmtId="14" fontId="0" fillId="3" borderId="8" xfId="0" applyNumberFormat="1" applyFont="1" applyFill="1" applyBorder="1"/>
    <xf numFmtId="14" fontId="0" fillId="3" borderId="10" xfId="0" applyNumberFormat="1" applyFont="1" applyFill="1" applyBorder="1"/>
    <xf numFmtId="0" fontId="1" fillId="6" borderId="15" xfId="0" applyFont="1" applyFill="1" applyBorder="1"/>
    <xf numFmtId="0" fontId="1" fillId="6" borderId="9" xfId="0" applyFont="1" applyFill="1" applyBorder="1"/>
    <xf numFmtId="0" fontId="1" fillId="6" borderId="11" xfId="0" applyFont="1" applyFill="1" applyBorder="1"/>
    <xf numFmtId="0" fontId="1" fillId="6" borderId="13" xfId="0" applyFont="1" applyFill="1" applyBorder="1"/>
    <xf numFmtId="0" fontId="1" fillId="6" borderId="10" xfId="0" applyFont="1" applyFill="1" applyBorder="1"/>
    <xf numFmtId="0" fontId="0" fillId="6" borderId="7" xfId="0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1" fillId="5" borderId="15" xfId="0" applyFont="1" applyFill="1" applyBorder="1"/>
    <xf numFmtId="0" fontId="1" fillId="5" borderId="14" xfId="0" applyFont="1" applyFill="1" applyBorder="1"/>
    <xf numFmtId="0" fontId="7" fillId="2" borderId="0" xfId="0" applyFont="1" applyFill="1"/>
    <xf numFmtId="0" fontId="0" fillId="2" borderId="1" xfId="0" applyFill="1" applyBorder="1"/>
    <xf numFmtId="164" fontId="0" fillId="4" borderId="2" xfId="0" applyNumberFormat="1" applyFill="1" applyBorder="1"/>
    <xf numFmtId="164" fontId="0" fillId="4" borderId="0" xfId="0" applyNumberFormat="1" applyFill="1" applyBorder="1"/>
    <xf numFmtId="164" fontId="0" fillId="4" borderId="11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14" fontId="0" fillId="6" borderId="6" xfId="0" applyNumberFormat="1" applyFill="1" applyBorder="1"/>
    <xf numFmtId="14" fontId="0" fillId="6" borderId="9" xfId="0" applyNumberFormat="1" applyFill="1" applyBorder="1"/>
    <xf numFmtId="0" fontId="1" fillId="5" borderId="6" xfId="0" applyFont="1" applyFill="1" applyBorder="1"/>
    <xf numFmtId="0" fontId="1" fillId="5" borderId="0" xfId="0" applyFont="1" applyFill="1" applyBorder="1"/>
    <xf numFmtId="0" fontId="1" fillId="5" borderId="12" xfId="0" applyFont="1" applyFill="1" applyBorder="1"/>
    <xf numFmtId="0" fontId="1" fillId="5" borderId="8" xfId="0" applyFont="1" applyFill="1" applyBorder="1"/>
    <xf numFmtId="14" fontId="0" fillId="5" borderId="6" xfId="0" applyNumberFormat="1" applyFill="1" applyBorder="1"/>
    <xf numFmtId="14" fontId="0" fillId="5" borderId="9" xfId="0" applyNumberFormat="1" applyFill="1" applyBorder="1"/>
    <xf numFmtId="0" fontId="0" fillId="5" borderId="1" xfId="0" applyFill="1" applyBorder="1"/>
    <xf numFmtId="0" fontId="0" fillId="5" borderId="6" xfId="0" applyFill="1" applyBorder="1"/>
    <xf numFmtId="14" fontId="0" fillId="5" borderId="1" xfId="0" applyNumberFormat="1" applyFill="1" applyBorder="1"/>
    <xf numFmtId="2" fontId="0" fillId="6" borderId="0" xfId="0" applyNumberFormat="1" applyFill="1" applyBorder="1"/>
    <xf numFmtId="14" fontId="0" fillId="4" borderId="6" xfId="0" applyNumberFormat="1" applyFill="1" applyBorder="1"/>
    <xf numFmtId="14" fontId="0" fillId="4" borderId="9" xfId="0" applyNumberFormat="1" applyFill="1" applyBorder="1"/>
    <xf numFmtId="0" fontId="1" fillId="4" borderId="4" xfId="0" applyFont="1" applyFill="1" applyBorder="1"/>
    <xf numFmtId="2" fontId="0" fillId="3" borderId="8" xfId="0" applyNumberFormat="1" applyFill="1" applyBorder="1"/>
    <xf numFmtId="2" fontId="0" fillId="5" borderId="8" xfId="0" applyNumberFormat="1" applyFill="1" applyBorder="1"/>
    <xf numFmtId="0" fontId="6" fillId="2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0" fontId="9" fillId="2" borderId="0" xfId="0" applyFont="1" applyFill="1"/>
    <xf numFmtId="0" fontId="9" fillId="0" borderId="0" xfId="0" applyFont="1"/>
    <xf numFmtId="2" fontId="9" fillId="0" borderId="0" xfId="0" applyNumberFormat="1" applyFont="1"/>
    <xf numFmtId="0" fontId="10" fillId="2" borderId="0" xfId="0" applyFont="1" applyFill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0" fontId="12" fillId="0" borderId="0" xfId="0" applyFont="1"/>
    <xf numFmtId="22" fontId="12" fillId="0" borderId="0" xfId="0" applyNumberFormat="1" applyFont="1"/>
    <xf numFmtId="0" fontId="12" fillId="2" borderId="0" xfId="0" applyFont="1" applyFill="1"/>
    <xf numFmtId="0" fontId="12" fillId="2" borderId="0" xfId="0" applyFont="1" applyFill="1" applyBorder="1"/>
    <xf numFmtId="0" fontId="14" fillId="5" borderId="4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3" borderId="6" xfId="0" applyFont="1" applyFill="1" applyBorder="1"/>
    <xf numFmtId="14" fontId="12" fillId="4" borderId="7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4" borderId="7" xfId="0" applyFont="1" applyFill="1" applyBorder="1"/>
    <xf numFmtId="0" fontId="12" fillId="4" borderId="12" xfId="0" applyFont="1" applyFill="1" applyBorder="1"/>
    <xf numFmtId="0" fontId="12" fillId="4" borderId="1" xfId="0" applyFont="1" applyFill="1" applyBorder="1"/>
    <xf numFmtId="165" fontId="12" fillId="4" borderId="8" xfId="0" applyNumberFormat="1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4" borderId="8" xfId="0" applyFont="1" applyFill="1" applyBorder="1"/>
    <xf numFmtId="0" fontId="12" fillId="4" borderId="6" xfId="0" applyFont="1" applyFill="1" applyBorder="1"/>
    <xf numFmtId="14" fontId="12" fillId="7" borderId="14" xfId="0" applyNumberFormat="1" applyFont="1" applyFill="1" applyBorder="1" applyAlignment="1">
      <alignment horizontal="center"/>
    </xf>
    <xf numFmtId="0" fontId="12" fillId="3" borderId="9" xfId="0" applyFont="1" applyFill="1" applyBorder="1"/>
    <xf numFmtId="1" fontId="12" fillId="4" borderId="10" xfId="0" applyNumberFormat="1" applyFont="1" applyFill="1" applyBorder="1" applyAlignment="1">
      <alignment horizontal="center"/>
    </xf>
    <xf numFmtId="0" fontId="12" fillId="2" borderId="11" xfId="0" applyFont="1" applyFill="1" applyBorder="1"/>
    <xf numFmtId="0" fontId="12" fillId="4" borderId="9" xfId="0" applyFont="1" applyFill="1" applyBorder="1"/>
    <xf numFmtId="0" fontId="12" fillId="4" borderId="10" xfId="0" applyFont="1" applyFill="1" applyBorder="1"/>
    <xf numFmtId="0" fontId="12" fillId="5" borderId="10" xfId="0" applyFont="1" applyFill="1" applyBorder="1" applyAlignment="1">
      <alignment horizontal="center"/>
    </xf>
    <xf numFmtId="0" fontId="12" fillId="4" borderId="13" xfId="0" applyFont="1" applyFill="1" applyBorder="1"/>
    <xf numFmtId="0" fontId="13" fillId="2" borderId="1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Compare_Plots!$A$4:$A$28</c:f>
              <c:numCache>
                <c:formatCode>m/d/yyyy</c:formatCode>
                <c:ptCount val="25"/>
                <c:pt idx="0">
                  <c:v>44104</c:v>
                </c:pt>
                <c:pt idx="1">
                  <c:v>44135</c:v>
                </c:pt>
                <c:pt idx="2">
                  <c:v>44165</c:v>
                </c:pt>
                <c:pt idx="3">
                  <c:v>44196</c:v>
                </c:pt>
                <c:pt idx="4">
                  <c:v>44227</c:v>
                </c:pt>
                <c:pt idx="5">
                  <c:v>44255</c:v>
                </c:pt>
                <c:pt idx="6">
                  <c:v>44286</c:v>
                </c:pt>
                <c:pt idx="7">
                  <c:v>44316</c:v>
                </c:pt>
                <c:pt idx="8">
                  <c:v>44347</c:v>
                </c:pt>
                <c:pt idx="9">
                  <c:v>44377</c:v>
                </c:pt>
                <c:pt idx="10">
                  <c:v>44408</c:v>
                </c:pt>
                <c:pt idx="11">
                  <c:v>44439</c:v>
                </c:pt>
                <c:pt idx="12">
                  <c:v>44469</c:v>
                </c:pt>
                <c:pt idx="13">
                  <c:v>44500</c:v>
                </c:pt>
                <c:pt idx="14">
                  <c:v>44530</c:v>
                </c:pt>
                <c:pt idx="15">
                  <c:v>44561</c:v>
                </c:pt>
                <c:pt idx="16">
                  <c:v>44592</c:v>
                </c:pt>
                <c:pt idx="17">
                  <c:v>44620</c:v>
                </c:pt>
                <c:pt idx="18">
                  <c:v>44651</c:v>
                </c:pt>
                <c:pt idx="19">
                  <c:v>44681</c:v>
                </c:pt>
                <c:pt idx="20">
                  <c:v>44712</c:v>
                </c:pt>
                <c:pt idx="21">
                  <c:v>44742</c:v>
                </c:pt>
                <c:pt idx="22">
                  <c:v>44773</c:v>
                </c:pt>
                <c:pt idx="23">
                  <c:v>44804</c:v>
                </c:pt>
                <c:pt idx="24">
                  <c:v>44834</c:v>
                </c:pt>
              </c:numCache>
            </c:numRef>
          </c:xVal>
          <c:yVal>
            <c:numRef>
              <c:f>Compare_Plots!$B$4:$B$28</c:f>
              <c:numCache>
                <c:formatCode>0.00</c:formatCode>
                <c:ptCount val="25"/>
                <c:pt idx="0">
                  <c:v>661273.58411409415</c:v>
                </c:pt>
                <c:pt idx="1">
                  <c:v>745246.51009205671</c:v>
                </c:pt>
                <c:pt idx="2">
                  <c:v>687582.62383169413</c:v>
                </c:pt>
                <c:pt idx="3">
                  <c:v>444467.13677686109</c:v>
                </c:pt>
                <c:pt idx="4">
                  <c:v>518562.77750137117</c:v>
                </c:pt>
                <c:pt idx="5">
                  <c:v>519289.44294114615</c:v>
                </c:pt>
                <c:pt idx="6">
                  <c:v>968077.44428917672</c:v>
                </c:pt>
                <c:pt idx="7">
                  <c:v>1032455.5455405776</c:v>
                </c:pt>
                <c:pt idx="8">
                  <c:v>993183.52538809204</c:v>
                </c:pt>
                <c:pt idx="9">
                  <c:v>947601.25489644194</c:v>
                </c:pt>
                <c:pt idx="10">
                  <c:v>827437.65220617561</c:v>
                </c:pt>
                <c:pt idx="11">
                  <c:v>786453.41304011981</c:v>
                </c:pt>
                <c:pt idx="12">
                  <c:v>713702.59412425279</c:v>
                </c:pt>
                <c:pt idx="13">
                  <c:v>521072.7026628399</c:v>
                </c:pt>
                <c:pt idx="14">
                  <c:v>639724.71578927455</c:v>
                </c:pt>
                <c:pt idx="15">
                  <c:v>477115.46245444688</c:v>
                </c:pt>
                <c:pt idx="16">
                  <c:v>519512.8236050508</c:v>
                </c:pt>
                <c:pt idx="17">
                  <c:v>520629.24810126133</c:v>
                </c:pt>
                <c:pt idx="18">
                  <c:v>970281.9314628666</c:v>
                </c:pt>
                <c:pt idx="19">
                  <c:v>1034747.9449120269</c:v>
                </c:pt>
                <c:pt idx="20">
                  <c:v>996078.71292683855</c:v>
                </c:pt>
                <c:pt idx="21">
                  <c:v>950106.92938093131</c:v>
                </c:pt>
                <c:pt idx="22">
                  <c:v>829372.31798774411</c:v>
                </c:pt>
                <c:pt idx="23">
                  <c:v>788103.07882292732</c:v>
                </c:pt>
                <c:pt idx="24">
                  <c:v>715701.34264762781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Compare_Plots!$A$4:$A$28</c:f>
              <c:numCache>
                <c:formatCode>m/d/yyyy</c:formatCode>
                <c:ptCount val="25"/>
                <c:pt idx="0">
                  <c:v>44104</c:v>
                </c:pt>
                <c:pt idx="1">
                  <c:v>44135</c:v>
                </c:pt>
                <c:pt idx="2">
                  <c:v>44165</c:v>
                </c:pt>
                <c:pt idx="3">
                  <c:v>44196</c:v>
                </c:pt>
                <c:pt idx="4">
                  <c:v>44227</c:v>
                </c:pt>
                <c:pt idx="5">
                  <c:v>44255</c:v>
                </c:pt>
                <c:pt idx="6">
                  <c:v>44286</c:v>
                </c:pt>
                <c:pt idx="7">
                  <c:v>44316</c:v>
                </c:pt>
                <c:pt idx="8">
                  <c:v>44347</c:v>
                </c:pt>
                <c:pt idx="9">
                  <c:v>44377</c:v>
                </c:pt>
                <c:pt idx="10">
                  <c:v>44408</c:v>
                </c:pt>
                <c:pt idx="11">
                  <c:v>44439</c:v>
                </c:pt>
                <c:pt idx="12">
                  <c:v>44469</c:v>
                </c:pt>
                <c:pt idx="13">
                  <c:v>44500</c:v>
                </c:pt>
                <c:pt idx="14">
                  <c:v>44530</c:v>
                </c:pt>
                <c:pt idx="15">
                  <c:v>44561</c:v>
                </c:pt>
                <c:pt idx="16">
                  <c:v>44592</c:v>
                </c:pt>
                <c:pt idx="17">
                  <c:v>44620</c:v>
                </c:pt>
                <c:pt idx="18">
                  <c:v>44651</c:v>
                </c:pt>
                <c:pt idx="19">
                  <c:v>44681</c:v>
                </c:pt>
                <c:pt idx="20">
                  <c:v>44712</c:v>
                </c:pt>
                <c:pt idx="21">
                  <c:v>44742</c:v>
                </c:pt>
                <c:pt idx="22">
                  <c:v>44773</c:v>
                </c:pt>
                <c:pt idx="23">
                  <c:v>44804</c:v>
                </c:pt>
                <c:pt idx="24">
                  <c:v>44834</c:v>
                </c:pt>
              </c:numCache>
            </c:numRef>
          </c:xVal>
          <c:yVal>
            <c:numRef>
              <c:f>Compare_Plots!$C$4:$C$28</c:f>
              <c:numCache>
                <c:formatCode>0.00</c:formatCode>
                <c:ptCount val="25"/>
                <c:pt idx="0">
                  <c:v>661273.58411409415</c:v>
                </c:pt>
                <c:pt idx="1">
                  <c:v>745246.51009205671</c:v>
                </c:pt>
                <c:pt idx="2">
                  <c:v>687582.62385691062</c:v>
                </c:pt>
                <c:pt idx="3">
                  <c:v>444467.13677686109</c:v>
                </c:pt>
                <c:pt idx="4">
                  <c:v>518562.77750571398</c:v>
                </c:pt>
                <c:pt idx="5">
                  <c:v>519289.44294114615</c:v>
                </c:pt>
                <c:pt idx="6">
                  <c:v>968077.44428700523</c:v>
                </c:pt>
                <c:pt idx="7">
                  <c:v>1032455.5454502187</c:v>
                </c:pt>
                <c:pt idx="8">
                  <c:v>993183.5253794064</c:v>
                </c:pt>
                <c:pt idx="9">
                  <c:v>947601.25495317893</c:v>
                </c:pt>
                <c:pt idx="10">
                  <c:v>827437.65215623297</c:v>
                </c:pt>
                <c:pt idx="11">
                  <c:v>786453.41303577682</c:v>
                </c:pt>
                <c:pt idx="12">
                  <c:v>713702.59412005008</c:v>
                </c:pt>
                <c:pt idx="13">
                  <c:v>521072.7026628399</c:v>
                </c:pt>
                <c:pt idx="14">
                  <c:v>639724.71578507184</c:v>
                </c:pt>
                <c:pt idx="15">
                  <c:v>477115.46245444688</c:v>
                </c:pt>
                <c:pt idx="16">
                  <c:v>519512.82360939361</c:v>
                </c:pt>
                <c:pt idx="17">
                  <c:v>520629.24810126133</c:v>
                </c:pt>
                <c:pt idx="18">
                  <c:v>970281.93146069499</c:v>
                </c:pt>
                <c:pt idx="19">
                  <c:v>1034747.9448195667</c:v>
                </c:pt>
                <c:pt idx="20">
                  <c:v>996078.71291598142</c:v>
                </c:pt>
                <c:pt idx="21">
                  <c:v>950106.92943766841</c:v>
                </c:pt>
                <c:pt idx="22">
                  <c:v>829372.31793997297</c:v>
                </c:pt>
                <c:pt idx="23">
                  <c:v>788103.07881858456</c:v>
                </c:pt>
                <c:pt idx="24">
                  <c:v>715701.3426434251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Compare_Plots!$A$4:$A$28</c:f>
              <c:numCache>
                <c:formatCode>m/d/yyyy</c:formatCode>
                <c:ptCount val="25"/>
                <c:pt idx="0">
                  <c:v>44104</c:v>
                </c:pt>
                <c:pt idx="1">
                  <c:v>44135</c:v>
                </c:pt>
                <c:pt idx="2">
                  <c:v>44165</c:v>
                </c:pt>
                <c:pt idx="3">
                  <c:v>44196</c:v>
                </c:pt>
                <c:pt idx="4">
                  <c:v>44227</c:v>
                </c:pt>
                <c:pt idx="5">
                  <c:v>44255</c:v>
                </c:pt>
                <c:pt idx="6">
                  <c:v>44286</c:v>
                </c:pt>
                <c:pt idx="7">
                  <c:v>44316</c:v>
                </c:pt>
                <c:pt idx="8">
                  <c:v>44347</c:v>
                </c:pt>
                <c:pt idx="9">
                  <c:v>44377</c:v>
                </c:pt>
                <c:pt idx="10">
                  <c:v>44408</c:v>
                </c:pt>
                <c:pt idx="11">
                  <c:v>44439</c:v>
                </c:pt>
                <c:pt idx="12">
                  <c:v>44469</c:v>
                </c:pt>
                <c:pt idx="13">
                  <c:v>44500</c:v>
                </c:pt>
                <c:pt idx="14">
                  <c:v>44530</c:v>
                </c:pt>
                <c:pt idx="15">
                  <c:v>44561</c:v>
                </c:pt>
                <c:pt idx="16">
                  <c:v>44592</c:v>
                </c:pt>
                <c:pt idx="17">
                  <c:v>44620</c:v>
                </c:pt>
                <c:pt idx="18">
                  <c:v>44651</c:v>
                </c:pt>
                <c:pt idx="19">
                  <c:v>44681</c:v>
                </c:pt>
                <c:pt idx="20">
                  <c:v>44712</c:v>
                </c:pt>
                <c:pt idx="21">
                  <c:v>44742</c:v>
                </c:pt>
                <c:pt idx="22">
                  <c:v>44773</c:v>
                </c:pt>
                <c:pt idx="23">
                  <c:v>44804</c:v>
                </c:pt>
                <c:pt idx="24">
                  <c:v>44834</c:v>
                </c:pt>
              </c:numCache>
            </c:numRef>
          </c:xVal>
          <c:yVal>
            <c:numRef>
              <c:f>Compare_Plots!$D$4:$D$28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-2.5216490030288696E-5</c:v>
                </c:pt>
                <c:pt idx="3">
                  <c:v>0</c:v>
                </c:pt>
                <c:pt idx="4">
                  <c:v>-4.3428153730928898E-6</c:v>
                </c:pt>
                <c:pt idx="5">
                  <c:v>0</c:v>
                </c:pt>
                <c:pt idx="6">
                  <c:v>2.1714949980378151E-6</c:v>
                </c:pt>
                <c:pt idx="7">
                  <c:v>9.0358895249664783E-5</c:v>
                </c:pt>
                <c:pt idx="8">
                  <c:v>8.6856307461857796E-6</c:v>
                </c:pt>
                <c:pt idx="9">
                  <c:v>-5.673698615282774E-5</c:v>
                </c:pt>
                <c:pt idx="10">
                  <c:v>4.9942638725042343E-5</c:v>
                </c:pt>
                <c:pt idx="11">
                  <c:v>4.3429899960756302E-6</c:v>
                </c:pt>
                <c:pt idx="12">
                  <c:v>4.2027095332741737E-6</c:v>
                </c:pt>
                <c:pt idx="13">
                  <c:v>0</c:v>
                </c:pt>
                <c:pt idx="14">
                  <c:v>4.2027095332741737E-6</c:v>
                </c:pt>
                <c:pt idx="15">
                  <c:v>0</c:v>
                </c:pt>
                <c:pt idx="16">
                  <c:v>-4.3428153730928898E-6</c:v>
                </c:pt>
                <c:pt idx="17">
                  <c:v>0</c:v>
                </c:pt>
                <c:pt idx="18">
                  <c:v>2.171611413359642E-6</c:v>
                </c:pt>
                <c:pt idx="19">
                  <c:v>9.2460191808640957E-5</c:v>
                </c:pt>
                <c:pt idx="20">
                  <c:v>1.0857125744223595E-5</c:v>
                </c:pt>
                <c:pt idx="21">
                  <c:v>-5.6737102568149567E-5</c:v>
                </c:pt>
                <c:pt idx="22">
                  <c:v>4.7771143727004528E-5</c:v>
                </c:pt>
                <c:pt idx="23">
                  <c:v>4.3427571654319763E-6</c:v>
                </c:pt>
                <c:pt idx="24">
                  <c:v>4.2027095332741737E-6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13800"/>
        <c:axId val="183417720"/>
      </c:scatterChart>
      <c:valAx>
        <c:axId val="18341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17720"/>
        <c:crosses val="autoZero"/>
        <c:crossBetween val="midCat"/>
      </c:valAx>
      <c:valAx>
        <c:axId val="183417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413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9" val="4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37" val="25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133350</xdr:rowOff>
        </xdr:from>
        <xdr:to>
          <xdr:col>2</xdr:col>
          <xdr:colOff>447675</xdr:colOff>
          <xdr:row>9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2</xdr:col>
          <xdr:colOff>1019175</xdr:colOff>
          <xdr:row>4</xdr:row>
          <xdr:rowOff>161925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0BD6C4-0C05-4EC6-8A84-7BF5BBC5DE5E}" type="TxLink">
            <a:rPr lang="en-US" sz="1100"/>
            <a:pPr algn="ctr"/>
            <a:t>25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8</xdr:col>
          <xdr:colOff>171450</xdr:colOff>
          <xdr:row>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352425</xdr:colOff>
          <xdr:row>2</xdr:row>
          <xdr:rowOff>19050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AF91"/>
  <sheetViews>
    <sheetView showGridLines="0" zoomScaleNormal="100" workbookViewId="0">
      <selection activeCell="B18" sqref="B18"/>
    </sheetView>
  </sheetViews>
  <sheetFormatPr defaultColWidth="8.85546875" defaultRowHeight="15" x14ac:dyDescent="0.25"/>
  <cols>
    <col min="1" max="1" width="10" style="80" customWidth="1"/>
    <col min="2" max="2" width="21.28515625" style="80" customWidth="1"/>
    <col min="3" max="3" width="15.85546875" style="80" customWidth="1"/>
    <col min="4" max="4" width="10.5703125" style="80" customWidth="1"/>
    <col min="5" max="5" width="8.85546875" style="80"/>
    <col min="6" max="6" width="26.85546875" style="80" customWidth="1"/>
    <col min="7" max="7" width="14" style="80" customWidth="1"/>
    <col min="8" max="8" width="8.85546875" style="80"/>
    <col min="9" max="9" width="4.42578125" style="80" customWidth="1"/>
    <col min="10" max="10" width="12.85546875" style="80" customWidth="1"/>
    <col min="11" max="28" width="8.85546875" style="80"/>
    <col min="29" max="29" width="11.42578125" style="80" bestFit="1" customWidth="1"/>
    <col min="30" max="30" width="18.140625" style="80" bestFit="1" customWidth="1"/>
    <col min="31" max="31" width="10.85546875" style="80" bestFit="1" customWidth="1"/>
    <col min="32" max="32" width="8.7109375" style="80" bestFit="1" customWidth="1"/>
    <col min="33" max="16384" width="8.85546875" style="80"/>
  </cols>
  <sheetData>
    <row r="2" spans="1:32" ht="21.75" customHeight="1" x14ac:dyDescent="0.3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1">NOW()</f>
        <v>44175.575573379632</v>
      </c>
    </row>
    <row r="3" spans="1:32" x14ac:dyDescent="0.25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25</v>
      </c>
      <c r="AE3" s="89"/>
      <c r="AF3" s="89"/>
    </row>
    <row r="4" spans="1:32" x14ac:dyDescent="0.25">
      <c r="A4" s="82"/>
      <c r="B4" s="90" t="s">
        <v>105</v>
      </c>
      <c r="C4" s="91">
        <v>44089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9</v>
      </c>
      <c r="AE4" s="89"/>
      <c r="AF4" s="89"/>
    </row>
    <row r="5" spans="1:32" x14ac:dyDescent="0.25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44104</v>
      </c>
      <c r="AE5" s="89"/>
      <c r="AF5" s="89"/>
    </row>
    <row r="6" spans="1:32" ht="16.5" customHeight="1" x14ac:dyDescent="0.25">
      <c r="A6" s="82"/>
      <c r="B6" s="101" t="s">
        <v>107</v>
      </c>
      <c r="C6" s="102">
        <f>LOOKUP(AD3,J4:J13,I4:I13)</f>
        <v>3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Leap Year</v>
      </c>
      <c r="AE6" s="89"/>
      <c r="AF6" s="89"/>
    </row>
    <row r="7" spans="1:32" x14ac:dyDescent="0.25">
      <c r="A7" s="82"/>
      <c r="B7" s="82"/>
      <c r="C7" s="82">
        <f>LOOKUP(C6,I4:J13)</f>
        <v>25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spans="1:32" x14ac:dyDescent="0.25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spans="1:32" x14ac:dyDescent="0.25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1">IF(OR(MOD(YEAR(AD2),400)=0,AND(MOD(YEAR(AD2),4)=0,MOD(YEAR(AD2),100)&lt;&gt;0)),29, 28)</f>
        <v>29</v>
      </c>
      <c r="AE9" s="88" t="s">
        <v>139</v>
      </c>
      <c r="AF9" s="88">
        <v>32</v>
      </c>
    </row>
    <row r="10" spans="1:32" x14ac:dyDescent="0.25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spans="1:32" x14ac:dyDescent="0.25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spans="1:32" x14ac:dyDescent="0.25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spans="1:32" x14ac:dyDescent="0.25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spans="1:32" x14ac:dyDescent="0.25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spans="1:32" x14ac:dyDescent="0.25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spans="1:32" x14ac:dyDescent="0.25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spans="5:32" x14ac:dyDescent="0.25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spans="5:32" x14ac:dyDescent="0.25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spans="5:32" x14ac:dyDescent="0.25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spans="5:32" x14ac:dyDescent="0.25">
      <c r="E20" s="97">
        <v>17</v>
      </c>
      <c r="F20" s="98" t="s">
        <v>54</v>
      </c>
      <c r="G20" s="94" t="s">
        <v>55</v>
      </c>
    </row>
    <row r="21" spans="5:32" x14ac:dyDescent="0.25">
      <c r="E21" s="97">
        <v>18</v>
      </c>
      <c r="F21" s="98" t="s">
        <v>64</v>
      </c>
      <c r="G21" s="94" t="s">
        <v>67</v>
      </c>
    </row>
    <row r="22" spans="5:32" x14ac:dyDescent="0.25">
      <c r="E22" s="97">
        <v>19</v>
      </c>
      <c r="F22" s="98" t="s">
        <v>65</v>
      </c>
      <c r="G22" s="94" t="s">
        <v>68</v>
      </c>
    </row>
    <row r="23" spans="5:32" x14ac:dyDescent="0.25">
      <c r="E23" s="97">
        <v>20</v>
      </c>
      <c r="F23" s="98" t="s">
        <v>66</v>
      </c>
      <c r="G23" s="94" t="s">
        <v>69</v>
      </c>
    </row>
    <row r="24" spans="5:32" x14ac:dyDescent="0.25">
      <c r="E24" s="97">
        <v>21</v>
      </c>
      <c r="F24" s="98" t="s">
        <v>71</v>
      </c>
      <c r="G24" s="94" t="s">
        <v>72</v>
      </c>
    </row>
    <row r="25" spans="5:32" x14ac:dyDescent="0.25">
      <c r="E25" s="97">
        <v>22</v>
      </c>
      <c r="F25" s="98" t="s">
        <v>120</v>
      </c>
      <c r="G25" s="94" t="s">
        <v>121</v>
      </c>
    </row>
    <row r="26" spans="5:32" x14ac:dyDescent="0.25">
      <c r="E26" s="97">
        <v>23</v>
      </c>
      <c r="F26" s="98" t="s">
        <v>70</v>
      </c>
      <c r="G26" s="94" t="s">
        <v>73</v>
      </c>
    </row>
    <row r="27" spans="5:32" x14ac:dyDescent="0.25">
      <c r="E27" s="97">
        <v>24</v>
      </c>
      <c r="F27" s="98" t="s">
        <v>86</v>
      </c>
      <c r="G27" s="94" t="s">
        <v>89</v>
      </c>
    </row>
    <row r="28" spans="5:32" x14ac:dyDescent="0.25">
      <c r="E28" s="97">
        <v>25</v>
      </c>
      <c r="F28" s="98" t="s">
        <v>122</v>
      </c>
      <c r="G28" s="94" t="s">
        <v>124</v>
      </c>
    </row>
    <row r="29" spans="5:32" x14ac:dyDescent="0.25">
      <c r="E29" s="97">
        <v>26</v>
      </c>
      <c r="F29" s="98" t="s">
        <v>123</v>
      </c>
      <c r="G29" s="94" t="s">
        <v>125</v>
      </c>
    </row>
    <row r="30" spans="5:32" x14ac:dyDescent="0.25">
      <c r="E30" s="97">
        <v>27</v>
      </c>
      <c r="F30" s="98" t="s">
        <v>87</v>
      </c>
      <c r="G30" s="94" t="s">
        <v>90</v>
      </c>
    </row>
    <row r="31" spans="5:32" x14ac:dyDescent="0.25">
      <c r="E31" s="97">
        <v>28</v>
      </c>
      <c r="F31" s="98" t="s">
        <v>88</v>
      </c>
      <c r="G31" s="94" t="s">
        <v>91</v>
      </c>
    </row>
    <row r="32" spans="5:32" x14ac:dyDescent="0.25">
      <c r="E32" s="97">
        <v>29</v>
      </c>
      <c r="F32" s="98" t="s">
        <v>74</v>
      </c>
      <c r="G32" s="94" t="s">
        <v>77</v>
      </c>
    </row>
    <row r="33" spans="5:7" x14ac:dyDescent="0.25">
      <c r="E33" s="97">
        <v>30</v>
      </c>
      <c r="F33" s="98" t="s">
        <v>128</v>
      </c>
      <c r="G33" s="94" t="s">
        <v>133</v>
      </c>
    </row>
    <row r="34" spans="5:7" x14ac:dyDescent="0.25">
      <c r="E34" s="97">
        <v>31</v>
      </c>
      <c r="F34" s="98" t="s">
        <v>126</v>
      </c>
      <c r="G34" s="94" t="s">
        <v>132</v>
      </c>
    </row>
    <row r="35" spans="5:7" x14ac:dyDescent="0.25">
      <c r="E35" s="97">
        <v>32</v>
      </c>
      <c r="F35" s="98" t="s">
        <v>127</v>
      </c>
      <c r="G35" s="94" t="s">
        <v>131</v>
      </c>
    </row>
    <row r="36" spans="5:7" x14ac:dyDescent="0.25">
      <c r="E36" s="97">
        <v>33</v>
      </c>
      <c r="F36" s="98" t="s">
        <v>129</v>
      </c>
      <c r="G36" s="94" t="s">
        <v>130</v>
      </c>
    </row>
    <row r="37" spans="5:7" x14ac:dyDescent="0.25">
      <c r="E37" s="97">
        <v>34</v>
      </c>
      <c r="F37" s="98" t="s">
        <v>75</v>
      </c>
      <c r="G37" s="94" t="s">
        <v>78</v>
      </c>
    </row>
    <row r="38" spans="5:7" x14ac:dyDescent="0.25">
      <c r="E38" s="97">
        <v>35</v>
      </c>
      <c r="F38" s="98" t="s">
        <v>76</v>
      </c>
      <c r="G38" s="94" t="s">
        <v>79</v>
      </c>
    </row>
    <row r="39" spans="5:7" x14ac:dyDescent="0.25">
      <c r="E39" s="97">
        <v>36</v>
      </c>
      <c r="F39" s="98" t="s">
        <v>80</v>
      </c>
      <c r="G39" s="94" t="s">
        <v>82</v>
      </c>
    </row>
    <row r="40" spans="5:7" x14ac:dyDescent="0.25">
      <c r="E40" s="97">
        <v>37</v>
      </c>
      <c r="F40" s="98" t="s">
        <v>81</v>
      </c>
      <c r="G40" s="94" t="s">
        <v>83</v>
      </c>
    </row>
    <row r="41" spans="5:7" x14ac:dyDescent="0.25">
      <c r="E41" s="97">
        <v>38</v>
      </c>
      <c r="F41" s="98" t="s">
        <v>84</v>
      </c>
      <c r="G41" s="94" t="s">
        <v>85</v>
      </c>
    </row>
    <row r="42" spans="5:7" x14ac:dyDescent="0.25">
      <c r="E42" s="97">
        <v>39</v>
      </c>
      <c r="F42" s="98" t="s">
        <v>92</v>
      </c>
      <c r="G42" s="94" t="s">
        <v>95</v>
      </c>
    </row>
    <row r="43" spans="5:7" x14ac:dyDescent="0.25">
      <c r="E43" s="97">
        <v>40</v>
      </c>
      <c r="F43" s="98" t="s">
        <v>93</v>
      </c>
      <c r="G43" s="94" t="s">
        <v>96</v>
      </c>
    </row>
    <row r="44" spans="5:7" x14ac:dyDescent="0.25">
      <c r="E44" s="97">
        <v>41</v>
      </c>
      <c r="F44" s="98" t="s">
        <v>94</v>
      </c>
      <c r="G44" s="94" t="s">
        <v>97</v>
      </c>
    </row>
    <row r="45" spans="5:7" x14ac:dyDescent="0.25">
      <c r="E45" s="97">
        <v>42</v>
      </c>
      <c r="F45" s="98" t="s">
        <v>24</v>
      </c>
      <c r="G45" s="94" t="s">
        <v>32</v>
      </c>
    </row>
    <row r="46" spans="5:7" x14ac:dyDescent="0.25">
      <c r="E46" s="97">
        <v>43</v>
      </c>
      <c r="F46" s="98" t="s">
        <v>23</v>
      </c>
      <c r="G46" s="94" t="s">
        <v>33</v>
      </c>
    </row>
    <row r="47" spans="5:7" x14ac:dyDescent="0.25">
      <c r="E47" s="97">
        <v>44</v>
      </c>
      <c r="F47" s="98" t="s">
        <v>22</v>
      </c>
      <c r="G47" s="94" t="s">
        <v>34</v>
      </c>
    </row>
    <row r="48" spans="5:7" x14ac:dyDescent="0.25">
      <c r="E48" s="97">
        <v>45</v>
      </c>
      <c r="F48" s="98" t="s">
        <v>16</v>
      </c>
      <c r="G48" s="94" t="s">
        <v>35</v>
      </c>
    </row>
    <row r="49" spans="5:7" x14ac:dyDescent="0.25">
      <c r="E49" s="97">
        <v>46</v>
      </c>
      <c r="F49" s="98" t="s">
        <v>17</v>
      </c>
      <c r="G49" s="94" t="s">
        <v>36</v>
      </c>
    </row>
    <row r="50" spans="5:7" x14ac:dyDescent="0.25">
      <c r="E50" s="97">
        <v>47</v>
      </c>
      <c r="F50" s="98" t="s">
        <v>18</v>
      </c>
      <c r="G50" s="94" t="s">
        <v>98</v>
      </c>
    </row>
    <row r="51" spans="5:7" x14ac:dyDescent="0.25">
      <c r="E51" s="97">
        <v>48</v>
      </c>
      <c r="F51" s="98"/>
      <c r="G51" s="94"/>
    </row>
    <row r="52" spans="5:7" x14ac:dyDescent="0.25">
      <c r="E52" s="97">
        <v>49</v>
      </c>
      <c r="F52" s="98"/>
      <c r="G52" s="94"/>
    </row>
    <row r="53" spans="5:7" x14ac:dyDescent="0.25">
      <c r="E53" s="97">
        <v>50</v>
      </c>
      <c r="F53" s="98"/>
      <c r="G53" s="94"/>
    </row>
    <row r="54" spans="5:7" x14ac:dyDescent="0.25">
      <c r="E54" s="97">
        <v>51</v>
      </c>
      <c r="F54" s="98"/>
      <c r="G54" s="94"/>
    </row>
    <row r="55" spans="5:7" x14ac:dyDescent="0.25">
      <c r="E55" s="97">
        <v>52</v>
      </c>
      <c r="F55" s="98"/>
      <c r="G55" s="94"/>
    </row>
    <row r="56" spans="5:7" x14ac:dyDescent="0.25">
      <c r="E56" s="97">
        <v>53</v>
      </c>
      <c r="F56" s="98"/>
      <c r="G56" s="94"/>
    </row>
    <row r="57" spans="5:7" x14ac:dyDescent="0.25">
      <c r="E57" s="97">
        <v>54</v>
      </c>
      <c r="F57" s="98"/>
      <c r="G57" s="94"/>
    </row>
    <row r="58" spans="5:7" x14ac:dyDescent="0.25">
      <c r="E58" s="97">
        <v>55</v>
      </c>
      <c r="F58" s="98"/>
      <c r="G58" s="94"/>
    </row>
    <row r="59" spans="5:7" x14ac:dyDescent="0.25">
      <c r="E59" s="97">
        <v>56</v>
      </c>
      <c r="F59" s="98"/>
      <c r="G59" s="94"/>
    </row>
    <row r="60" spans="5:7" x14ac:dyDescent="0.25">
      <c r="E60" s="97">
        <v>57</v>
      </c>
      <c r="F60" s="98"/>
      <c r="G60" s="94"/>
    </row>
    <row r="61" spans="5:7" x14ac:dyDescent="0.25">
      <c r="E61" s="97">
        <v>58</v>
      </c>
      <c r="F61" s="98"/>
      <c r="G61" s="94"/>
    </row>
    <row r="62" spans="5:7" x14ac:dyDescent="0.25">
      <c r="E62" s="97">
        <v>59</v>
      </c>
      <c r="F62" s="98"/>
      <c r="G62" s="94"/>
    </row>
    <row r="63" spans="5:7" x14ac:dyDescent="0.25">
      <c r="E63" s="97">
        <v>60</v>
      </c>
      <c r="F63" s="98"/>
      <c r="G63" s="94"/>
    </row>
    <row r="64" spans="5:7" x14ac:dyDescent="0.25">
      <c r="E64" s="97">
        <v>61</v>
      </c>
      <c r="F64" s="98"/>
      <c r="G64" s="94"/>
    </row>
    <row r="65" spans="5:7" x14ac:dyDescent="0.25">
      <c r="E65" s="97">
        <v>62</v>
      </c>
      <c r="F65" s="98"/>
      <c r="G65" s="94"/>
    </row>
    <row r="66" spans="5:7" x14ac:dyDescent="0.25">
      <c r="E66" s="97">
        <v>63</v>
      </c>
      <c r="F66" s="98"/>
      <c r="G66" s="94"/>
    </row>
    <row r="67" spans="5:7" x14ac:dyDescent="0.25">
      <c r="E67" s="97">
        <v>64</v>
      </c>
      <c r="F67" s="98"/>
      <c r="G67" s="94"/>
    </row>
    <row r="68" spans="5:7" x14ac:dyDescent="0.25">
      <c r="E68" s="97">
        <v>65</v>
      </c>
      <c r="F68" s="98"/>
      <c r="G68" s="94"/>
    </row>
    <row r="69" spans="5:7" x14ac:dyDescent="0.25">
      <c r="E69" s="97">
        <v>66</v>
      </c>
      <c r="F69" s="98"/>
      <c r="G69" s="94"/>
    </row>
    <row r="70" spans="5:7" x14ac:dyDescent="0.25">
      <c r="E70" s="97">
        <v>67</v>
      </c>
      <c r="F70" s="98"/>
      <c r="G70" s="94"/>
    </row>
    <row r="71" spans="5:7" x14ac:dyDescent="0.25">
      <c r="E71" s="97">
        <v>68</v>
      </c>
      <c r="F71" s="98"/>
      <c r="G71" s="94"/>
    </row>
    <row r="72" spans="5:7" x14ac:dyDescent="0.25">
      <c r="E72" s="97">
        <v>69</v>
      </c>
      <c r="F72" s="98"/>
      <c r="G72" s="94"/>
    </row>
    <row r="73" spans="5:7" x14ac:dyDescent="0.25">
      <c r="E73" s="97">
        <v>70</v>
      </c>
      <c r="F73" s="98"/>
      <c r="G73" s="94"/>
    </row>
    <row r="74" spans="5:7" x14ac:dyDescent="0.25">
      <c r="E74" s="97">
        <v>71</v>
      </c>
      <c r="F74" s="98"/>
      <c r="G74" s="94"/>
    </row>
    <row r="75" spans="5:7" x14ac:dyDescent="0.25">
      <c r="E75" s="97">
        <v>72</v>
      </c>
      <c r="F75" s="98"/>
      <c r="G75" s="94"/>
    </row>
    <row r="76" spans="5:7" x14ac:dyDescent="0.25">
      <c r="E76" s="97">
        <v>73</v>
      </c>
      <c r="F76" s="98"/>
      <c r="G76" s="94"/>
    </row>
    <row r="77" spans="5:7" x14ac:dyDescent="0.25">
      <c r="E77" s="97">
        <v>74</v>
      </c>
      <c r="F77" s="98"/>
      <c r="G77" s="94"/>
    </row>
    <row r="78" spans="5:7" x14ac:dyDescent="0.25">
      <c r="E78" s="106">
        <v>75</v>
      </c>
      <c r="F78" s="98"/>
      <c r="G78" s="94"/>
    </row>
    <row r="79" spans="5:7" x14ac:dyDescent="0.25">
      <c r="F79" s="98"/>
      <c r="G79" s="94"/>
    </row>
    <row r="80" spans="5:7" x14ac:dyDescent="0.25">
      <c r="F80" s="98"/>
      <c r="G80" s="94"/>
    </row>
    <row r="81" spans="6:7" x14ac:dyDescent="0.25">
      <c r="F81" s="98"/>
      <c r="G81" s="94"/>
    </row>
    <row r="82" spans="6:7" x14ac:dyDescent="0.25">
      <c r="F82" s="98"/>
      <c r="G82" s="94"/>
    </row>
    <row r="83" spans="6:7" x14ac:dyDescent="0.25">
      <c r="F83" s="98"/>
      <c r="G83" s="94"/>
    </row>
    <row r="84" spans="6:7" x14ac:dyDescent="0.25">
      <c r="F84" s="98"/>
      <c r="G84" s="94"/>
    </row>
    <row r="85" spans="6:7" x14ac:dyDescent="0.25">
      <c r="F85" s="98"/>
      <c r="G85" s="94"/>
    </row>
    <row r="86" spans="6:7" x14ac:dyDescent="0.25">
      <c r="F86" s="98"/>
      <c r="G86" s="94"/>
    </row>
    <row r="87" spans="6:7" x14ac:dyDescent="0.25">
      <c r="F87" s="98"/>
      <c r="G87" s="94"/>
    </row>
    <row r="88" spans="6:7" x14ac:dyDescent="0.25">
      <c r="F88" s="98"/>
      <c r="G88" s="94"/>
    </row>
    <row r="89" spans="6:7" x14ac:dyDescent="0.25">
      <c r="F89" s="98"/>
      <c r="G89" s="94"/>
    </row>
    <row r="90" spans="6:7" x14ac:dyDescent="0.25">
      <c r="F90" s="98"/>
      <c r="G90" s="94"/>
    </row>
    <row r="91" spans="6:7" x14ac:dyDescent="0.25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133350</xdr:rowOff>
                  </from>
                  <to>
                    <xdr:col>2</xdr:col>
                    <xdr:colOff>447675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9525</xdr:rowOff>
                  </from>
                  <to>
                    <xdr:col>2</xdr:col>
                    <xdr:colOff>1019175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AW69"/>
  <sheetViews>
    <sheetView zoomScale="90" zoomScaleNormal="90" workbookViewId="0">
      <selection activeCell="T4" sqref="T4:T28"/>
    </sheetView>
  </sheetViews>
  <sheetFormatPr defaultRowHeight="15" x14ac:dyDescent="0.25"/>
  <cols>
    <col min="1" max="1" width="16.5703125" customWidth="1"/>
    <col min="2" max="2" width="9.28515625" bestFit="1" customWidth="1"/>
    <col min="3" max="3" width="9.28515625" customWidth="1"/>
    <col min="4" max="5" width="9.28515625" bestFit="1" customWidth="1"/>
    <col min="6" max="8" width="9.85546875" customWidth="1"/>
    <col min="9" max="10" width="9.28515625" bestFit="1" customWidth="1"/>
    <col min="11" max="12" width="9.85546875" customWidth="1"/>
    <col min="13" max="13" width="9.28515625" bestFit="1" customWidth="1"/>
    <col min="14" max="16" width="9.7109375" customWidth="1"/>
    <col min="17" max="17" width="10.42578125" bestFit="1" customWidth="1"/>
    <col min="18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0.5703125" bestFit="1" customWidth="1"/>
    <col min="39" max="40" width="9.28515625" bestFit="1" customWidth="1"/>
    <col min="41" max="41" width="10.5703125" bestFit="1" customWidth="1"/>
    <col min="42" max="42" width="9.28515625" bestFit="1" customWidth="1"/>
    <col min="43" max="43" width="10" customWidth="1"/>
    <col min="44" max="44" width="10.85546875" customWidth="1"/>
    <col min="45" max="45" width="9.28515625" bestFit="1" customWidth="1"/>
    <col min="46" max="46" width="28.28515625" customWidth="1"/>
    <col min="47" max="47" width="19.28515625" customWidth="1"/>
    <col min="48" max="48" width="18.85546875" customWidth="1"/>
  </cols>
  <sheetData>
    <row r="1" spans="1:49" ht="18.75" x14ac:dyDescent="0.3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spans="1:49" x14ac:dyDescent="0.25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spans="1:49" x14ac:dyDescent="0.25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spans="1:49" ht="14.45" customHeight="1" x14ac:dyDescent="0.25">
      <c r="A4" s="23">
        <f>RunInformation!AD5</f>
        <v>44104</v>
      </c>
      <c r="B4" s="71">
        <v>6495.5349744094419</v>
      </c>
      <c r="C4" s="71">
        <v>35</v>
      </c>
      <c r="D4" s="71">
        <v>63.070000000000007</v>
      </c>
      <c r="E4" s="71">
        <v>0</v>
      </c>
      <c r="F4" s="70">
        <v>6026.0138775262403</v>
      </c>
      <c r="G4" s="71">
        <v>66.070000000085685</v>
      </c>
      <c r="H4" s="71">
        <v>38.000000000000014</v>
      </c>
      <c r="I4" s="71">
        <v>97.210000000000164</v>
      </c>
      <c r="J4" s="72">
        <v>0</v>
      </c>
      <c r="K4" s="71">
        <v>9303.1811866797798</v>
      </c>
      <c r="L4" s="71">
        <v>4.5000000000000009</v>
      </c>
      <c r="M4" s="71">
        <v>17.749999999999975</v>
      </c>
      <c r="N4" s="70">
        <v>7472.1325751640352</v>
      </c>
      <c r="O4" s="71">
        <v>37.250000000084022</v>
      </c>
      <c r="P4" s="71">
        <v>24.000000000000011</v>
      </c>
      <c r="Q4" s="71">
        <v>81.449999999999918</v>
      </c>
      <c r="R4" s="72">
        <v>0</v>
      </c>
      <c r="S4" s="71">
        <v>6749.6333542978937</v>
      </c>
      <c r="T4" s="71">
        <v>87.129270616759825</v>
      </c>
      <c r="U4" s="71">
        <v>0</v>
      </c>
      <c r="V4" s="70">
        <v>7621.9784155511734</v>
      </c>
      <c r="W4" s="71">
        <v>6.9999999999999991</v>
      </c>
      <c r="X4" s="72">
        <v>29.36999999999999</v>
      </c>
      <c r="Y4" s="71">
        <v>6045.0107945866075</v>
      </c>
      <c r="Z4" s="71">
        <v>32.370000000026877</v>
      </c>
      <c r="AA4" s="71">
        <v>10.000000000000014</v>
      </c>
      <c r="AB4" s="78">
        <v>38.259999999999977</v>
      </c>
      <c r="AC4" s="71">
        <v>0</v>
      </c>
      <c r="AD4" s="70">
        <v>3597.1331045275551</v>
      </c>
      <c r="AE4" s="71">
        <v>11478.614481143122</v>
      </c>
      <c r="AF4" s="71">
        <v>383.46400000089938</v>
      </c>
      <c r="AG4" s="71">
        <v>209.99999999999997</v>
      </c>
      <c r="AH4" s="71">
        <v>45.88951569521533</v>
      </c>
      <c r="AI4" s="71">
        <v>601.93799999999942</v>
      </c>
      <c r="AJ4" s="72">
        <v>0</v>
      </c>
      <c r="AK4" s="71">
        <v>1083.3069367880566</v>
      </c>
      <c r="AL4" s="71">
        <v>661273.58411409415</v>
      </c>
      <c r="AM4" s="71">
        <v>257.76048675999999</v>
      </c>
      <c r="AN4" s="70">
        <v>635.49698818569482</v>
      </c>
      <c r="AO4" s="71">
        <v>817895.71436964488</v>
      </c>
      <c r="AP4" s="72">
        <v>100.028412506</v>
      </c>
      <c r="AQ4" s="71">
        <v>447.49999999999949</v>
      </c>
      <c r="AR4" s="71">
        <v>557525.99999999418</v>
      </c>
      <c r="AS4" s="71">
        <v>36448.550391899997</v>
      </c>
      <c r="AT4" s="73">
        <v>22056.626412558951</v>
      </c>
      <c r="AU4" s="71">
        <v>95350.000000008324</v>
      </c>
      <c r="AV4" s="73">
        <v>166270.99999997934</v>
      </c>
      <c r="AW4" s="40"/>
    </row>
    <row r="5" spans="1:49" ht="14.45" customHeight="1" x14ac:dyDescent="0.25">
      <c r="A5" s="23">
        <f>EOMONTH(A4,1)</f>
        <v>44135</v>
      </c>
      <c r="B5" s="75">
        <v>6492.0892678149539</v>
      </c>
      <c r="C5" s="75">
        <v>40.000000000000014</v>
      </c>
      <c r="D5" s="75">
        <v>63.019999999999769</v>
      </c>
      <c r="E5" s="75">
        <v>38.230349533950111</v>
      </c>
      <c r="F5" s="74">
        <v>6025.7980403215161</v>
      </c>
      <c r="G5" s="75">
        <v>68.020000000046451</v>
      </c>
      <c r="H5" s="75">
        <v>44.999999999999993</v>
      </c>
      <c r="I5" s="75">
        <v>69.220000000000169</v>
      </c>
      <c r="J5" s="76">
        <v>0</v>
      </c>
      <c r="K5" s="75">
        <v>9301.5615270013022</v>
      </c>
      <c r="L5" s="75">
        <v>5.0000000000000027</v>
      </c>
      <c r="M5" s="75">
        <v>7.2900000000000071</v>
      </c>
      <c r="N5" s="74">
        <v>7464.8724937007792</v>
      </c>
      <c r="O5" s="75">
        <v>28.290000000043964</v>
      </c>
      <c r="P5" s="75">
        <v>26.000000000000007</v>
      </c>
      <c r="Q5" s="75">
        <v>76.209999999999951</v>
      </c>
      <c r="R5" s="76">
        <v>0</v>
      </c>
      <c r="S5" s="75">
        <v>6749.6333542978937</v>
      </c>
      <c r="T5" s="75">
        <v>82.211198895803363</v>
      </c>
      <c r="U5" s="75">
        <v>0</v>
      </c>
      <c r="V5" s="74">
        <v>7616.207014698155</v>
      </c>
      <c r="W5" s="75">
        <v>9.0000000000000213</v>
      </c>
      <c r="X5" s="76">
        <v>16.450000000000006</v>
      </c>
      <c r="Y5" s="75">
        <v>6044.8434487860832</v>
      </c>
      <c r="Z5" s="75">
        <v>32.417999999926955</v>
      </c>
      <c r="AA5" s="75">
        <v>25.000000000000011</v>
      </c>
      <c r="AB5" s="79">
        <v>23.600000000000023</v>
      </c>
      <c r="AC5" s="75">
        <v>0</v>
      </c>
      <c r="AD5" s="74">
        <v>3594.7628228346416</v>
      </c>
      <c r="AE5" s="75">
        <v>11257.191420189882</v>
      </c>
      <c r="AF5" s="75">
        <v>432.21399999907817</v>
      </c>
      <c r="AG5" s="75">
        <v>350.00000000000034</v>
      </c>
      <c r="AH5" s="75">
        <v>31.350900395653515</v>
      </c>
      <c r="AI5" s="75">
        <v>639.99999999999716</v>
      </c>
      <c r="AJ5" s="76">
        <v>0</v>
      </c>
      <c r="AK5" s="75">
        <v>1082.2544497670592</v>
      </c>
      <c r="AL5" s="75">
        <v>745246.51009205671</v>
      </c>
      <c r="AM5" s="75">
        <v>295.73721775600001</v>
      </c>
      <c r="AN5" s="74">
        <v>635.99722949146917</v>
      </c>
      <c r="AO5" s="75">
        <v>707289.32439836243</v>
      </c>
      <c r="AP5" s="76">
        <v>84.932127451100001</v>
      </c>
      <c r="AQ5" s="75">
        <v>447.49999999999949</v>
      </c>
      <c r="AR5" s="75">
        <v>460537.00000047579</v>
      </c>
      <c r="AS5" s="75">
        <v>30350.523831999999</v>
      </c>
      <c r="AT5" s="77">
        <v>20817.626412502577</v>
      </c>
      <c r="AU5" s="75">
        <v>98761.999999945183</v>
      </c>
      <c r="AV5" s="77">
        <v>153999.99999999287</v>
      </c>
      <c r="AW5" s="78"/>
    </row>
    <row r="6" spans="1:49" ht="14.45" customHeight="1" x14ac:dyDescent="0.25">
      <c r="A6" s="23">
        <f t="shared" ref="A6:A35" si="0">EOMONTH(A5,1)</f>
        <v>44165</v>
      </c>
      <c r="B6" s="75">
        <v>6488.7766217847702</v>
      </c>
      <c r="C6" s="75">
        <v>40.000000000000007</v>
      </c>
      <c r="D6" s="75">
        <v>60.989999999999746</v>
      </c>
      <c r="E6" s="75">
        <v>0</v>
      </c>
      <c r="F6" s="74">
        <v>6025.9982204068183</v>
      </c>
      <c r="G6" s="75">
        <v>70.990000000053726</v>
      </c>
      <c r="H6" s="75">
        <v>50.000000000000021</v>
      </c>
      <c r="I6" s="75">
        <v>59.860000000000198</v>
      </c>
      <c r="J6" s="76">
        <v>0</v>
      </c>
      <c r="K6" s="75">
        <v>9300.8038198162631</v>
      </c>
      <c r="L6" s="75">
        <v>4.0000000000000009</v>
      </c>
      <c r="M6" s="75">
        <v>5.0499999999999972</v>
      </c>
      <c r="N6" s="74">
        <v>7466.0045800524849</v>
      </c>
      <c r="O6" s="75">
        <v>25.049999999941143</v>
      </c>
      <c r="P6" s="75">
        <v>24.000000000000011</v>
      </c>
      <c r="Q6" s="75">
        <v>17.520000000000021</v>
      </c>
      <c r="R6" s="76">
        <v>0</v>
      </c>
      <c r="S6" s="75">
        <v>6749.6333542978937</v>
      </c>
      <c r="T6" s="75">
        <v>23.520342999934446</v>
      </c>
      <c r="U6" s="75">
        <v>0</v>
      </c>
      <c r="V6" s="74">
        <v>7618.9704436679713</v>
      </c>
      <c r="W6" s="75">
        <v>5.9999999999999742</v>
      </c>
      <c r="X6" s="76">
        <v>2.4799999999999986</v>
      </c>
      <c r="Y6" s="75">
        <v>6044.8232929133801</v>
      </c>
      <c r="Z6" s="75">
        <v>21.457000000037976</v>
      </c>
      <c r="AA6" s="75">
        <v>24.999999999999982</v>
      </c>
      <c r="AB6" s="79">
        <v>20.830000000000027</v>
      </c>
      <c r="AC6" s="75">
        <v>0</v>
      </c>
      <c r="AD6" s="74">
        <v>3591.6400375984217</v>
      </c>
      <c r="AE6" s="75">
        <v>10969.633354880034</v>
      </c>
      <c r="AF6" s="75">
        <v>359.28399999959822</v>
      </c>
      <c r="AG6" s="75">
        <v>360.00000000000023</v>
      </c>
      <c r="AH6" s="75">
        <v>29.846703412024628</v>
      </c>
      <c r="AI6" s="75">
        <v>640.00000000000193</v>
      </c>
      <c r="AJ6" s="76">
        <v>0</v>
      </c>
      <c r="AK6" s="75">
        <v>1081.8636365354319</v>
      </c>
      <c r="AL6" s="75">
        <v>687582.62383169413</v>
      </c>
      <c r="AM6" s="75">
        <v>268.099394249</v>
      </c>
      <c r="AN6" s="74">
        <v>638.00068114829332</v>
      </c>
      <c r="AO6" s="75">
        <v>606011.67530404089</v>
      </c>
      <c r="AP6" s="76">
        <v>73.747491198999995</v>
      </c>
      <c r="AQ6" s="75">
        <v>447.49999999999949</v>
      </c>
      <c r="AR6" s="75">
        <v>359918.00000033999</v>
      </c>
      <c r="AS6" s="75">
        <v>23408.501731699998</v>
      </c>
      <c r="AT6" s="77">
        <v>12848.626412496926</v>
      </c>
      <c r="AU6" s="75">
        <v>95349.513555032056</v>
      </c>
      <c r="AV6" s="77">
        <v>153054.42449334703</v>
      </c>
      <c r="AW6" s="78"/>
    </row>
    <row r="7" spans="1:49" ht="14.45" customHeight="1" x14ac:dyDescent="0.25">
      <c r="A7" s="23">
        <f t="shared" si="0"/>
        <v>44196</v>
      </c>
      <c r="B7" s="75">
        <v>6483.823276541988</v>
      </c>
      <c r="C7" s="75">
        <v>31.999999999999986</v>
      </c>
      <c r="D7" s="75">
        <v>63.019999999999769</v>
      </c>
      <c r="E7" s="75">
        <v>0</v>
      </c>
      <c r="F7" s="74">
        <v>6025.8166246719093</v>
      </c>
      <c r="G7" s="75">
        <v>66.020000000032454</v>
      </c>
      <c r="H7" s="75">
        <v>35.000000000000028</v>
      </c>
      <c r="I7" s="75">
        <v>71.329999999999927</v>
      </c>
      <c r="J7" s="76">
        <v>0</v>
      </c>
      <c r="K7" s="75">
        <v>9299.5568717191509</v>
      </c>
      <c r="L7" s="75">
        <v>3.5000000000000027</v>
      </c>
      <c r="M7" s="75">
        <v>5.200000000000002</v>
      </c>
      <c r="N7" s="74">
        <v>7466.703594160098</v>
      </c>
      <c r="O7" s="75">
        <v>22.700000000093844</v>
      </c>
      <c r="P7" s="75">
        <v>21.000000000000032</v>
      </c>
      <c r="Q7" s="75">
        <v>17.980000000000004</v>
      </c>
      <c r="R7" s="76">
        <v>0</v>
      </c>
      <c r="S7" s="75">
        <v>6749.6333542978937</v>
      </c>
      <c r="T7" s="75">
        <v>23.980349708279821</v>
      </c>
      <c r="U7" s="75">
        <v>0</v>
      </c>
      <c r="V7" s="74">
        <v>7621.2794295931681</v>
      </c>
      <c r="W7" s="75">
        <v>5.0000000000000027</v>
      </c>
      <c r="X7" s="76">
        <v>1.8399999999999976</v>
      </c>
      <c r="Y7" s="75">
        <v>6044.2671642060304</v>
      </c>
      <c r="Z7" s="75">
        <v>15.839999999989338</v>
      </c>
      <c r="AA7" s="75">
        <v>18.999999999999979</v>
      </c>
      <c r="AB7" s="79">
        <v>21.519999999999982</v>
      </c>
      <c r="AC7" s="75">
        <v>0</v>
      </c>
      <c r="AD7" s="74">
        <v>3587.5654278871352</v>
      </c>
      <c r="AE7" s="75">
        <v>10601.552477173142</v>
      </c>
      <c r="AF7" s="75">
        <v>345.82999999977949</v>
      </c>
      <c r="AG7" s="75">
        <v>309.99999999999994</v>
      </c>
      <c r="AH7" s="75">
        <v>23.357348711743832</v>
      </c>
      <c r="AI7" s="75">
        <v>720.00000000000307</v>
      </c>
      <c r="AJ7" s="76">
        <v>0</v>
      </c>
      <c r="AK7" s="75">
        <v>1085.1581546555108</v>
      </c>
      <c r="AL7" s="75">
        <v>444467.13677686109</v>
      </c>
      <c r="AM7" s="75">
        <v>172.20749902899999</v>
      </c>
      <c r="AN7" s="74">
        <v>639.50562092519613</v>
      </c>
      <c r="AO7" s="75">
        <v>383160.90108033927</v>
      </c>
      <c r="AP7" s="76">
        <v>47.831211031600006</v>
      </c>
      <c r="AQ7" s="75">
        <v>446.49999999999949</v>
      </c>
      <c r="AR7" s="75">
        <v>225856.99999955311</v>
      </c>
      <c r="AS7" s="75">
        <v>13938.7244682</v>
      </c>
      <c r="AT7" s="77">
        <v>7441.6264125009639</v>
      </c>
      <c r="AU7" s="75">
        <v>98520.513555031153</v>
      </c>
      <c r="AV7" s="77">
        <v>88843.424493219936</v>
      </c>
      <c r="AW7" s="78"/>
    </row>
    <row r="8" spans="1:49" ht="14.45" customHeight="1" x14ac:dyDescent="0.25">
      <c r="A8" s="23">
        <f t="shared" si="0"/>
        <v>44227</v>
      </c>
      <c r="B8" s="75">
        <v>6477.763794553799</v>
      </c>
      <c r="C8" s="75">
        <v>29.999999999999996</v>
      </c>
      <c r="D8" s="75">
        <v>63.019999999999769</v>
      </c>
      <c r="E8" s="75">
        <v>0</v>
      </c>
      <c r="F8" s="74">
        <v>6025.8160672572112</v>
      </c>
      <c r="G8" s="75">
        <v>73.020000000081467</v>
      </c>
      <c r="H8" s="75">
        <v>40.000000000000014</v>
      </c>
      <c r="I8" s="75">
        <v>71.329999999999927</v>
      </c>
      <c r="J8" s="76">
        <v>0</v>
      </c>
      <c r="K8" s="75">
        <v>9298.2805386810924</v>
      </c>
      <c r="L8" s="75">
        <v>3.5000000000000027</v>
      </c>
      <c r="M8" s="75">
        <v>5.200000000000002</v>
      </c>
      <c r="N8" s="74">
        <v>7466.9428444225641</v>
      </c>
      <c r="O8" s="75">
        <v>20.699999999992979</v>
      </c>
      <c r="P8" s="75">
        <v>18.999999999999979</v>
      </c>
      <c r="Q8" s="75">
        <v>18.979999999999997</v>
      </c>
      <c r="R8" s="76">
        <v>0</v>
      </c>
      <c r="S8" s="75">
        <v>6749.6333542978937</v>
      </c>
      <c r="T8" s="75">
        <v>23.980349708279821</v>
      </c>
      <c r="U8" s="75">
        <v>0</v>
      </c>
      <c r="V8" s="74">
        <v>7622.7481424868683</v>
      </c>
      <c r="W8" s="75">
        <v>4.0000000000000018</v>
      </c>
      <c r="X8" s="76">
        <v>1.8399999999999976</v>
      </c>
      <c r="Y8" s="75">
        <v>6043.6192515091798</v>
      </c>
      <c r="Z8" s="75">
        <v>14.840000000004052</v>
      </c>
      <c r="AA8" s="75">
        <v>16.999999999999989</v>
      </c>
      <c r="AB8" s="79">
        <v>21.519999999999982</v>
      </c>
      <c r="AC8" s="75">
        <v>0</v>
      </c>
      <c r="AD8" s="74">
        <v>3581.9762764763746</v>
      </c>
      <c r="AE8" s="75">
        <v>10109.783487849349</v>
      </c>
      <c r="AF8" s="75">
        <v>335.82999999970946</v>
      </c>
      <c r="AG8" s="75">
        <v>299.99999999999994</v>
      </c>
      <c r="AH8" s="75">
        <v>6.9405093181602524</v>
      </c>
      <c r="AI8" s="75">
        <v>860.0000000000025</v>
      </c>
      <c r="AJ8" s="76">
        <v>0</v>
      </c>
      <c r="AK8" s="75">
        <v>1089.5001454429123</v>
      </c>
      <c r="AL8" s="75">
        <v>518562.77750137117</v>
      </c>
      <c r="AM8" s="75">
        <v>205.74528472100002</v>
      </c>
      <c r="AN8" s="74">
        <v>641.79754691929065</v>
      </c>
      <c r="AO8" s="75">
        <v>426005.89484017837</v>
      </c>
      <c r="AP8" s="76">
        <v>53.784897261600001</v>
      </c>
      <c r="AQ8" s="75">
        <v>446.49999999999949</v>
      </c>
      <c r="AR8" s="75">
        <v>255294.56996694606</v>
      </c>
      <c r="AS8" s="75">
        <v>15983.991325999999</v>
      </c>
      <c r="AT8" s="77">
        <v>10570.22310564763</v>
      </c>
      <c r="AU8" s="75">
        <v>93847.666666653924</v>
      </c>
      <c r="AV8" s="77">
        <v>86021.965661819384</v>
      </c>
      <c r="AW8" s="78"/>
    </row>
    <row r="9" spans="1:49" ht="14.45" customHeight="1" x14ac:dyDescent="0.25">
      <c r="A9" s="23">
        <f t="shared" si="0"/>
        <v>44255</v>
      </c>
      <c r="B9" s="75">
        <v>6471.5362660433002</v>
      </c>
      <c r="C9" s="75">
        <v>27.999999999999989</v>
      </c>
      <c r="D9" s="75">
        <v>56.929999999999986</v>
      </c>
      <c r="E9" s="75">
        <v>0</v>
      </c>
      <c r="F9" s="74">
        <v>6025.9295328083927</v>
      </c>
      <c r="G9" s="75">
        <v>70.929999999956237</v>
      </c>
      <c r="H9" s="75">
        <v>42.000000000000014</v>
      </c>
      <c r="I9" s="75">
        <v>64.419999999999803</v>
      </c>
      <c r="J9" s="76">
        <v>0</v>
      </c>
      <c r="K9" s="75">
        <v>9296.9734975393603</v>
      </c>
      <c r="L9" s="75">
        <v>3</v>
      </c>
      <c r="M9" s="75">
        <v>4.7</v>
      </c>
      <c r="N9" s="74">
        <v>7467.2248073818819</v>
      </c>
      <c r="O9" s="75">
        <v>17.699999999994379</v>
      </c>
      <c r="P9" s="75">
        <v>15.999999999999977</v>
      </c>
      <c r="Q9" s="75">
        <v>15.660000000000021</v>
      </c>
      <c r="R9" s="76">
        <v>0</v>
      </c>
      <c r="S9" s="75">
        <v>6749.6333542978937</v>
      </c>
      <c r="T9" s="75">
        <v>21.660315875063887</v>
      </c>
      <c r="U9" s="75">
        <v>0</v>
      </c>
      <c r="V9" s="74">
        <v>7624.2631666994666</v>
      </c>
      <c r="W9" s="75">
        <v>4</v>
      </c>
      <c r="X9" s="76">
        <v>1.6699999999999993</v>
      </c>
      <c r="Y9" s="75">
        <v>6043.4737041994686</v>
      </c>
      <c r="Z9" s="75">
        <v>18.662000000005477</v>
      </c>
      <c r="AA9" s="75">
        <v>20.999999999999979</v>
      </c>
      <c r="AB9" s="79">
        <v>19.440000000000019</v>
      </c>
      <c r="AC9" s="75">
        <v>0</v>
      </c>
      <c r="AD9" s="74">
        <v>3577.3575032152194</v>
      </c>
      <c r="AE9" s="75">
        <v>9714.8583916123862</v>
      </c>
      <c r="AF9" s="75">
        <v>330.67199999906325</v>
      </c>
      <c r="AG9" s="75">
        <v>310.00000000000034</v>
      </c>
      <c r="AH9" s="75">
        <v>7.1911046868237918</v>
      </c>
      <c r="AI9" s="75">
        <v>750</v>
      </c>
      <c r="AJ9" s="76">
        <v>0</v>
      </c>
      <c r="AK9" s="75">
        <v>1092.6716018241459</v>
      </c>
      <c r="AL9" s="75">
        <v>519289.44294114615</v>
      </c>
      <c r="AM9" s="75">
        <v>205.307716185</v>
      </c>
      <c r="AN9" s="74">
        <v>641.79754691929065</v>
      </c>
      <c r="AO9" s="75">
        <v>499223.52889709279</v>
      </c>
      <c r="AP9" s="76">
        <v>63.134389164699996</v>
      </c>
      <c r="AQ9" s="75">
        <v>446.49999999999949</v>
      </c>
      <c r="AR9" s="75">
        <v>393137.47991883382</v>
      </c>
      <c r="AS9" s="75">
        <v>25528.2744475</v>
      </c>
      <c r="AT9" s="77">
        <v>10650.47975486587</v>
      </c>
      <c r="AU9" s="75">
        <v>20736.666666626301</v>
      </c>
      <c r="AV9" s="77">
        <v>80846.047180106121</v>
      </c>
      <c r="AW9" s="78"/>
    </row>
    <row r="10" spans="1:49" ht="14.45" customHeight="1" x14ac:dyDescent="0.25">
      <c r="A10" s="23">
        <f t="shared" si="0"/>
        <v>44286</v>
      </c>
      <c r="B10" s="75">
        <v>6467.261410400256</v>
      </c>
      <c r="C10" s="75">
        <v>44.999999999999993</v>
      </c>
      <c r="D10" s="75">
        <v>62.480000000000146</v>
      </c>
      <c r="E10" s="75">
        <v>0</v>
      </c>
      <c r="F10" s="74">
        <v>6026.3712822506495</v>
      </c>
      <c r="G10" s="75">
        <v>107.47999999998844</v>
      </c>
      <c r="H10" s="75">
        <v>90.000000000000227</v>
      </c>
      <c r="I10" s="75">
        <v>87.31000000000013</v>
      </c>
      <c r="J10" s="76">
        <v>0</v>
      </c>
      <c r="K10" s="75">
        <v>9295.2294019028777</v>
      </c>
      <c r="L10" s="75">
        <v>2.9999999999999991</v>
      </c>
      <c r="M10" s="75">
        <v>5.200000000000002</v>
      </c>
      <c r="N10" s="74">
        <v>7468.7102697834571</v>
      </c>
      <c r="O10" s="75">
        <v>30.2000000000378</v>
      </c>
      <c r="P10" s="75">
        <v>28.000000000000004</v>
      </c>
      <c r="Q10" s="75">
        <v>19.979999999999997</v>
      </c>
      <c r="R10" s="76">
        <v>19.980000000005308</v>
      </c>
      <c r="S10" s="75">
        <v>6749.6333542978937</v>
      </c>
      <c r="T10" s="75">
        <v>28.980422624981514</v>
      </c>
      <c r="U10" s="75">
        <v>0</v>
      </c>
      <c r="V10" s="74">
        <v>7626.1838255905432</v>
      </c>
      <c r="W10" s="75">
        <v>5.0000000000000027</v>
      </c>
      <c r="X10" s="76">
        <v>1.8399999999999976</v>
      </c>
      <c r="Y10" s="75">
        <v>6045.3524093503875</v>
      </c>
      <c r="Z10" s="75">
        <v>49.660999999926773</v>
      </c>
      <c r="AA10" s="75">
        <v>56.000000000000007</v>
      </c>
      <c r="AB10" s="79">
        <v>21.519999999999982</v>
      </c>
      <c r="AC10" s="75">
        <v>0</v>
      </c>
      <c r="AD10" s="74">
        <v>3573.3811584317546</v>
      </c>
      <c r="AE10" s="75">
        <v>9383.1326933130513</v>
      </c>
      <c r="AF10" s="75">
        <v>453.62900000083829</v>
      </c>
      <c r="AG10" s="75">
        <v>490.00000000000034</v>
      </c>
      <c r="AH10" s="75">
        <v>11.892754823830023</v>
      </c>
      <c r="AI10" s="75">
        <v>800.00000000000273</v>
      </c>
      <c r="AJ10" s="76">
        <v>0</v>
      </c>
      <c r="AK10" s="75">
        <v>1091.3334918602352</v>
      </c>
      <c r="AL10" s="75">
        <v>968077.44428917672</v>
      </c>
      <c r="AM10" s="75">
        <v>394.786562919</v>
      </c>
      <c r="AN10" s="74">
        <v>643.05459791010435</v>
      </c>
      <c r="AO10" s="75">
        <v>909154.87006702006</v>
      </c>
      <c r="AP10" s="76">
        <v>113.64928830000001</v>
      </c>
      <c r="AQ10" s="75">
        <v>446.69999999999948</v>
      </c>
      <c r="AR10" s="75">
        <v>638373.26349376806</v>
      </c>
      <c r="AS10" s="75">
        <v>41335.469140499998</v>
      </c>
      <c r="AT10" s="77">
        <v>14856.772980822756</v>
      </c>
      <c r="AU10" s="75">
        <v>89676.666666717865</v>
      </c>
      <c r="AV10" s="77">
        <v>164693.12216033417</v>
      </c>
      <c r="AW10" s="78"/>
    </row>
    <row r="11" spans="1:49" ht="14.45" customHeight="1" x14ac:dyDescent="0.25">
      <c r="A11" s="23">
        <f t="shared" si="0"/>
        <v>44316</v>
      </c>
      <c r="B11" s="75">
        <v>6468.7294695866076</v>
      </c>
      <c r="C11" s="75">
        <v>70</v>
      </c>
      <c r="D11" s="75">
        <v>63.469999999999871</v>
      </c>
      <c r="E11" s="75">
        <v>0</v>
      </c>
      <c r="F11" s="74">
        <v>6026.9904247703353</v>
      </c>
      <c r="G11" s="75">
        <v>113.46999999999319</v>
      </c>
      <c r="H11" s="75">
        <v>120.00000000000006</v>
      </c>
      <c r="I11" s="75">
        <v>84.500000000000227</v>
      </c>
      <c r="J11" s="76">
        <v>0</v>
      </c>
      <c r="K11" s="75">
        <v>9291.0166101049763</v>
      </c>
      <c r="L11" s="75">
        <v>5.0000000000000018</v>
      </c>
      <c r="M11" s="75">
        <v>10.000000000000014</v>
      </c>
      <c r="N11" s="74">
        <v>7471.6233686351634</v>
      </c>
      <c r="O11" s="75">
        <v>63.000000000041972</v>
      </c>
      <c r="P11" s="75">
        <v>57.999999999999986</v>
      </c>
      <c r="Q11" s="75">
        <v>42.680000000000014</v>
      </c>
      <c r="R11" s="76">
        <v>42.67999999991423</v>
      </c>
      <c r="S11" s="75">
        <v>6749.6333542978937</v>
      </c>
      <c r="T11" s="75">
        <v>62.680914083247615</v>
      </c>
      <c r="U11" s="75">
        <v>0</v>
      </c>
      <c r="V11" s="74">
        <v>7633.5449980314888</v>
      </c>
      <c r="W11" s="75">
        <v>15.000000000000023</v>
      </c>
      <c r="X11" s="76">
        <v>1.7900000000000014</v>
      </c>
      <c r="Y11" s="75">
        <v>6048.8828100065557</v>
      </c>
      <c r="Z11" s="75">
        <v>85.244999999900742</v>
      </c>
      <c r="AA11" s="75">
        <v>109.99999999999982</v>
      </c>
      <c r="AB11" s="79">
        <v>20.830000000000027</v>
      </c>
      <c r="AC11" s="75">
        <v>0</v>
      </c>
      <c r="AD11" s="74">
        <v>3572.5324935367416</v>
      </c>
      <c r="AE11" s="75">
        <v>9313.3175399977663</v>
      </c>
      <c r="AF11" s="75">
        <v>643.21700000095029</v>
      </c>
      <c r="AG11" s="75">
        <v>750.00000000000114</v>
      </c>
      <c r="AH11" s="75">
        <v>18.61736384271267</v>
      </c>
      <c r="AI11" s="75">
        <v>700</v>
      </c>
      <c r="AJ11" s="76">
        <v>0</v>
      </c>
      <c r="AK11" s="75">
        <v>1087.8065321555107</v>
      </c>
      <c r="AL11" s="75">
        <v>1032455.5455405776</v>
      </c>
      <c r="AM11" s="75">
        <v>418.445770036</v>
      </c>
      <c r="AN11" s="74">
        <v>642.99981670275531</v>
      </c>
      <c r="AO11" s="75">
        <v>1004759.72689028</v>
      </c>
      <c r="AP11" s="76">
        <v>125.50071845299999</v>
      </c>
      <c r="AQ11" s="75">
        <v>448.69999999999948</v>
      </c>
      <c r="AR11" s="75">
        <v>708253.93271948444</v>
      </c>
      <c r="AS11" s="75">
        <v>46616.479676800001</v>
      </c>
      <c r="AT11" s="77">
        <v>21043.293425406762</v>
      </c>
      <c r="AU11" s="75">
        <v>86729.666666605059</v>
      </c>
      <c r="AV11" s="77">
        <v>158482.19525861123</v>
      </c>
      <c r="AW11" s="78"/>
    </row>
    <row r="12" spans="1:49" ht="14.45" customHeight="1" x14ac:dyDescent="0.25">
      <c r="A12" s="23">
        <f t="shared" si="0"/>
        <v>44347</v>
      </c>
      <c r="B12" s="75">
        <v>6477.0140844488124</v>
      </c>
      <c r="C12" s="75">
        <v>124.99999999999976</v>
      </c>
      <c r="D12" s="75">
        <v>86.280000000000229</v>
      </c>
      <c r="E12" s="75">
        <v>0</v>
      </c>
      <c r="F12" s="74">
        <v>6028.8177821522249</v>
      </c>
      <c r="G12" s="75">
        <v>141.27999999996459</v>
      </c>
      <c r="H12" s="75">
        <v>179.99999999999983</v>
      </c>
      <c r="I12" s="75">
        <v>61.489999999999711</v>
      </c>
      <c r="J12" s="76">
        <v>0</v>
      </c>
      <c r="K12" s="75">
        <v>9299.1097943897548</v>
      </c>
      <c r="L12" s="75">
        <v>24.000000000000014</v>
      </c>
      <c r="M12" s="75">
        <v>14.000000000000002</v>
      </c>
      <c r="N12" s="74">
        <v>7489.5622285761083</v>
      </c>
      <c r="O12" s="75">
        <v>170.00000000010496</v>
      </c>
      <c r="P12" s="75">
        <v>179.99999999999983</v>
      </c>
      <c r="Q12" s="75">
        <v>37.909999999999975</v>
      </c>
      <c r="R12" s="76">
        <v>31.786211850599809</v>
      </c>
      <c r="S12" s="75">
        <v>6749.6333542978937</v>
      </c>
      <c r="T12" s="75">
        <v>82.911209104076462</v>
      </c>
      <c r="U12" s="75">
        <v>0</v>
      </c>
      <c r="V12" s="74">
        <v>7643.9241905511726</v>
      </c>
      <c r="W12" s="75">
        <v>53.000000000000014</v>
      </c>
      <c r="X12" s="76">
        <v>31.040000000000013</v>
      </c>
      <c r="Y12" s="75">
        <v>6058.2149561679726</v>
      </c>
      <c r="Z12" s="75">
        <v>174.21499999996399</v>
      </c>
      <c r="AA12" s="75">
        <v>224.99999999999994</v>
      </c>
      <c r="AB12" s="79">
        <v>21.519999999999982</v>
      </c>
      <c r="AC12" s="75">
        <v>0</v>
      </c>
      <c r="AD12" s="74">
        <v>3578.9438474737499</v>
      </c>
      <c r="AE12" s="75">
        <v>9849.328554245496</v>
      </c>
      <c r="AF12" s="75">
        <v>1301.2799999989688</v>
      </c>
      <c r="AG12" s="75">
        <v>1699.9999999999986</v>
      </c>
      <c r="AH12" s="75">
        <v>22.388103608810614</v>
      </c>
      <c r="AI12" s="75">
        <v>700.00000000000307</v>
      </c>
      <c r="AJ12" s="76">
        <v>0</v>
      </c>
      <c r="AK12" s="75">
        <v>1084.3052666043295</v>
      </c>
      <c r="AL12" s="75">
        <v>993183.52538809204</v>
      </c>
      <c r="AM12" s="75">
        <v>387.514347348</v>
      </c>
      <c r="AN12" s="74">
        <v>642.99981670275531</v>
      </c>
      <c r="AO12" s="75">
        <v>961183.21223693225</v>
      </c>
      <c r="AP12" s="76">
        <v>120.394278102</v>
      </c>
      <c r="AQ12" s="75">
        <v>448.69999999999948</v>
      </c>
      <c r="AR12" s="75">
        <v>705827.50328417565</v>
      </c>
      <c r="AS12" s="75">
        <v>46929.991813699999</v>
      </c>
      <c r="AT12" s="77">
        <v>27429.188282873842</v>
      </c>
      <c r="AU12" s="75">
        <v>78435.666666717094</v>
      </c>
      <c r="AV12" s="77">
        <v>166764.01538289391</v>
      </c>
      <c r="AW12" s="78"/>
    </row>
    <row r="13" spans="1:49" ht="14.45" customHeight="1" x14ac:dyDescent="0.25">
      <c r="A13" s="23">
        <f t="shared" si="0"/>
        <v>44377</v>
      </c>
      <c r="B13" s="75">
        <v>6499.5469429789964</v>
      </c>
      <c r="C13" s="75">
        <v>265.00000000000017</v>
      </c>
      <c r="D13" s="75">
        <v>118.81000000000014</v>
      </c>
      <c r="E13" s="75">
        <v>17.390474200577977</v>
      </c>
      <c r="F13" s="74">
        <v>6024.7131837598363</v>
      </c>
      <c r="G13" s="75">
        <v>163.80999999997127</v>
      </c>
      <c r="H13" s="75">
        <v>310.00000000000011</v>
      </c>
      <c r="I13" s="75">
        <v>313.69000000000011</v>
      </c>
      <c r="J13" s="76">
        <v>76.936476368594043</v>
      </c>
      <c r="K13" s="75">
        <v>9311.282396062983</v>
      </c>
      <c r="L13" s="75">
        <v>38.000000000000014</v>
      </c>
      <c r="M13" s="75">
        <v>19.999999999999975</v>
      </c>
      <c r="N13" s="74">
        <v>7500.6244335301753</v>
      </c>
      <c r="O13" s="75">
        <v>242.00000000100846</v>
      </c>
      <c r="P13" s="75">
        <v>260.00000000000011</v>
      </c>
      <c r="Q13" s="75">
        <v>152.11999999999978</v>
      </c>
      <c r="R13" s="76">
        <v>0</v>
      </c>
      <c r="S13" s="75">
        <v>6749.6333542978937</v>
      </c>
      <c r="T13" s="75">
        <v>202.12294758323421</v>
      </c>
      <c r="U13" s="75">
        <v>70.377851239544967</v>
      </c>
      <c r="V13" s="74">
        <v>7651.0908844488104</v>
      </c>
      <c r="W13" s="75">
        <v>59.999999999999737</v>
      </c>
      <c r="X13" s="76">
        <v>42.739999999999988</v>
      </c>
      <c r="Y13" s="75">
        <v>6062.5104222112795</v>
      </c>
      <c r="Z13" s="75">
        <v>140.57200000009169</v>
      </c>
      <c r="AA13" s="75">
        <v>179.99999999999983</v>
      </c>
      <c r="AB13" s="79">
        <v>28.260000000000034</v>
      </c>
      <c r="AC13" s="75">
        <v>0</v>
      </c>
      <c r="AD13" s="74">
        <v>3593.9751607283424</v>
      </c>
      <c r="AE13" s="75">
        <v>11184.202092613721</v>
      </c>
      <c r="AF13" s="75">
        <v>2219.589999990772</v>
      </c>
      <c r="AG13" s="75">
        <v>2400.0000000000014</v>
      </c>
      <c r="AH13" s="75">
        <v>37.92657575251706</v>
      </c>
      <c r="AI13" s="75">
        <v>739.99999999999864</v>
      </c>
      <c r="AJ13" s="76">
        <v>0</v>
      </c>
      <c r="AK13" s="75">
        <v>1081.3906374245394</v>
      </c>
      <c r="AL13" s="75">
        <v>947601.25489644194</v>
      </c>
      <c r="AM13" s="75">
        <v>369.47601527400002</v>
      </c>
      <c r="AN13" s="74">
        <v>642.99981670275531</v>
      </c>
      <c r="AO13" s="75">
        <v>907391.33991045563</v>
      </c>
      <c r="AP13" s="76">
        <v>113.766768914</v>
      </c>
      <c r="AQ13" s="75">
        <v>448.69999999999948</v>
      </c>
      <c r="AR13" s="75">
        <v>718278.92434749741</v>
      </c>
      <c r="AS13" s="75">
        <v>47828.673017900001</v>
      </c>
      <c r="AT13" s="77">
        <v>27521.272227658366</v>
      </c>
      <c r="AU13" s="75">
        <v>75852.66666664106</v>
      </c>
      <c r="AV13" s="77">
        <v>95337.9178227589</v>
      </c>
      <c r="AW13" s="78"/>
    </row>
    <row r="14" spans="1:49" ht="14.45" customHeight="1" x14ac:dyDescent="0.25">
      <c r="A14" s="23">
        <f t="shared" si="0"/>
        <v>44408</v>
      </c>
      <c r="B14" s="75">
        <v>6502.6842639763709</v>
      </c>
      <c r="C14" s="75">
        <v>165.0000000000002</v>
      </c>
      <c r="D14" s="75">
        <v>138.34999999999968</v>
      </c>
      <c r="E14" s="75">
        <v>36.011538778368674</v>
      </c>
      <c r="F14" s="74">
        <v>6027.0322292978935</v>
      </c>
      <c r="G14" s="75">
        <v>168.34999999995222</v>
      </c>
      <c r="H14" s="75">
        <v>195.00000000000009</v>
      </c>
      <c r="I14" s="75">
        <v>65.360000000000184</v>
      </c>
      <c r="J14" s="76">
        <v>0</v>
      </c>
      <c r="K14" s="75">
        <v>9305.8200699803056</v>
      </c>
      <c r="L14" s="75">
        <v>14.999999999999998</v>
      </c>
      <c r="M14" s="75">
        <v>23.499999999999993</v>
      </c>
      <c r="N14" s="74">
        <v>7503.0100903543225</v>
      </c>
      <c r="O14" s="75">
        <v>98.499999999929869</v>
      </c>
      <c r="P14" s="75">
        <v>90.000000000000227</v>
      </c>
      <c r="Q14" s="75">
        <v>77.230000000000018</v>
      </c>
      <c r="R14" s="76">
        <v>0</v>
      </c>
      <c r="S14" s="75">
        <v>6749.6333542978937</v>
      </c>
      <c r="T14" s="75">
        <v>92.231345020877896</v>
      </c>
      <c r="U14" s="75">
        <v>0</v>
      </c>
      <c r="V14" s="74">
        <v>7644.6701017060295</v>
      </c>
      <c r="W14" s="75">
        <v>27.000000000000004</v>
      </c>
      <c r="X14" s="76">
        <v>41.54</v>
      </c>
      <c r="Y14" s="75">
        <v>6059.4662504593116</v>
      </c>
      <c r="Z14" s="75">
        <v>53.371999999976872</v>
      </c>
      <c r="AA14" s="75">
        <v>40.000000000000014</v>
      </c>
      <c r="AB14" s="79">
        <v>30.739999999999984</v>
      </c>
      <c r="AC14" s="75">
        <v>0</v>
      </c>
      <c r="AD14" s="74">
        <v>3592.0520669947468</v>
      </c>
      <c r="AE14" s="75">
        <v>11007.29637681181</v>
      </c>
      <c r="AF14" s="75">
        <v>726.70399999907579</v>
      </c>
      <c r="AG14" s="75">
        <v>820.00000000000261</v>
      </c>
      <c r="AH14" s="75">
        <v>47.76216853475178</v>
      </c>
      <c r="AI14" s="75">
        <v>869.99999999999932</v>
      </c>
      <c r="AJ14" s="76">
        <v>0</v>
      </c>
      <c r="AK14" s="75">
        <v>1081.6254797834636</v>
      </c>
      <c r="AL14" s="75">
        <v>827437.65220617561</v>
      </c>
      <c r="AM14" s="75">
        <v>322.72850679300001</v>
      </c>
      <c r="AN14" s="74">
        <v>641.99704448162663</v>
      </c>
      <c r="AO14" s="75">
        <v>817563.6580703418</v>
      </c>
      <c r="AP14" s="76">
        <v>102.647865356</v>
      </c>
      <c r="AQ14" s="75">
        <v>447.99999999999949</v>
      </c>
      <c r="AR14" s="75">
        <v>693138.83763795125</v>
      </c>
      <c r="AS14" s="75">
        <v>45883.071382299997</v>
      </c>
      <c r="AT14" s="77">
        <v>28006.191350299472</v>
      </c>
      <c r="AU14" s="75">
        <v>78429.666666628895</v>
      </c>
      <c r="AV14" s="77">
        <v>47720.519449456966</v>
      </c>
      <c r="AW14" s="78"/>
    </row>
    <row r="15" spans="1:49" ht="14.45" customHeight="1" x14ac:dyDescent="0.25">
      <c r="A15" s="23">
        <f t="shared" si="0"/>
        <v>44439</v>
      </c>
      <c r="B15" s="75">
        <v>6501.5331804461875</v>
      </c>
      <c r="C15" s="75">
        <v>59.999999999999993</v>
      </c>
      <c r="D15" s="75">
        <v>66.639999999999873</v>
      </c>
      <c r="E15" s="75">
        <v>0</v>
      </c>
      <c r="F15" s="74">
        <v>6026.472011778209</v>
      </c>
      <c r="G15" s="75">
        <v>76.640000000024315</v>
      </c>
      <c r="H15" s="75">
        <v>70.000000000000327</v>
      </c>
      <c r="I15" s="75">
        <v>86.079999999999799</v>
      </c>
      <c r="J15" s="76">
        <v>0</v>
      </c>
      <c r="K15" s="75">
        <v>9297.9763118110131</v>
      </c>
      <c r="L15" s="75">
        <v>8.0000000000000266</v>
      </c>
      <c r="M15" s="75">
        <v>18.999999999999979</v>
      </c>
      <c r="N15" s="74">
        <v>7500.3170399934306</v>
      </c>
      <c r="O15" s="75">
        <v>60.999999999992951</v>
      </c>
      <c r="P15" s="75">
        <v>49.999999999999964</v>
      </c>
      <c r="Q15" s="75">
        <v>82.230000000000288</v>
      </c>
      <c r="R15" s="76">
        <v>0</v>
      </c>
      <c r="S15" s="75">
        <v>6749.6333542978937</v>
      </c>
      <c r="T15" s="75">
        <v>92.231345020877896</v>
      </c>
      <c r="U15" s="75">
        <v>0</v>
      </c>
      <c r="V15" s="74">
        <v>7634.6163862860822</v>
      </c>
      <c r="W15" s="75">
        <v>16.999999999999989</v>
      </c>
      <c r="X15" s="76">
        <v>37.810000000000016</v>
      </c>
      <c r="Y15" s="75">
        <v>6057.3526156824082</v>
      </c>
      <c r="Z15" s="75">
        <v>53.897000000094543</v>
      </c>
      <c r="AA15" s="75">
        <v>33.999999999999972</v>
      </c>
      <c r="AB15" s="79">
        <v>28.760000000000037</v>
      </c>
      <c r="AC15" s="75">
        <v>0</v>
      </c>
      <c r="AD15" s="74">
        <v>3587.3432566601014</v>
      </c>
      <c r="AE15" s="75">
        <v>10581.721060239888</v>
      </c>
      <c r="AF15" s="75">
        <v>477.09700000071336</v>
      </c>
      <c r="AG15" s="75">
        <v>384.99999999999989</v>
      </c>
      <c r="AH15" s="75">
        <v>46.718342722804707</v>
      </c>
      <c r="AI15" s="75">
        <v>889.9999999999992</v>
      </c>
      <c r="AJ15" s="76">
        <v>0</v>
      </c>
      <c r="AK15" s="75">
        <v>1082.6875351804451</v>
      </c>
      <c r="AL15" s="75">
        <v>786453.41304011981</v>
      </c>
      <c r="AM15" s="75">
        <v>305.80707617100001</v>
      </c>
      <c r="AN15" s="74">
        <v>641.99704448162663</v>
      </c>
      <c r="AO15" s="75">
        <v>751583.08884059521</v>
      </c>
      <c r="AP15" s="76">
        <v>94.294609788700015</v>
      </c>
      <c r="AQ15" s="75">
        <v>447.50000000328043</v>
      </c>
      <c r="AR15" s="75">
        <v>623899.01914267149</v>
      </c>
      <c r="AS15" s="75">
        <v>40891.381243099997</v>
      </c>
      <c r="AT15" s="77">
        <v>28476.748756777473</v>
      </c>
      <c r="AU15" s="75">
        <v>78429.666666628895</v>
      </c>
      <c r="AV15" s="77">
        <v>47720.519449456966</v>
      </c>
      <c r="AW15" s="78"/>
    </row>
    <row r="16" spans="1:49" ht="14.45" customHeight="1" x14ac:dyDescent="0.25">
      <c r="A16" s="23">
        <f t="shared" si="0"/>
        <v>44469</v>
      </c>
      <c r="B16" s="75">
        <v>6499.3857166994685</v>
      </c>
      <c r="C16" s="75">
        <v>45.000000000000014</v>
      </c>
      <c r="D16" s="75">
        <v>59.500000000000021</v>
      </c>
      <c r="E16" s="75">
        <v>39.712979481536635</v>
      </c>
      <c r="F16" s="74">
        <v>6025.6674358595737</v>
      </c>
      <c r="G16" s="75">
        <v>67.499999999999943</v>
      </c>
      <c r="H16" s="75">
        <v>53.000000000000036</v>
      </c>
      <c r="I16" s="75">
        <v>87.76999999999984</v>
      </c>
      <c r="J16" s="76">
        <v>0</v>
      </c>
      <c r="K16" s="75">
        <v>9288.2912830380483</v>
      </c>
      <c r="L16" s="75">
        <v>5.9999999999999742</v>
      </c>
      <c r="M16" s="75">
        <v>17.499999999999968</v>
      </c>
      <c r="N16" s="74">
        <v>7495.9260060039296</v>
      </c>
      <c r="O16" s="75">
        <v>44.499999999957936</v>
      </c>
      <c r="P16" s="75">
        <v>33.000000000000007</v>
      </c>
      <c r="Q16" s="75">
        <v>79.280000000000229</v>
      </c>
      <c r="R16" s="76">
        <v>0</v>
      </c>
      <c r="S16" s="75">
        <v>6749.6333542978937</v>
      </c>
      <c r="T16" s="75">
        <v>86.281258250090787</v>
      </c>
      <c r="U16" s="75">
        <v>34.373812410906233</v>
      </c>
      <c r="V16" s="74">
        <v>7626.2867039370003</v>
      </c>
      <c r="W16" s="75">
        <v>15.000000000000023</v>
      </c>
      <c r="X16" s="76">
        <v>29.619999999999997</v>
      </c>
      <c r="Y16" s="75">
        <v>6056.8222598097054</v>
      </c>
      <c r="Z16" s="75">
        <v>46.389000000084359</v>
      </c>
      <c r="AA16" s="75">
        <v>33.000000000000007</v>
      </c>
      <c r="AB16" s="79">
        <v>24.200000000000006</v>
      </c>
      <c r="AC16" s="75">
        <v>0</v>
      </c>
      <c r="AD16" s="74">
        <v>3584.1239183398911</v>
      </c>
      <c r="AE16" s="75">
        <v>10296.957603812856</v>
      </c>
      <c r="AF16" s="75">
        <v>424.54899999934941</v>
      </c>
      <c r="AG16" s="75">
        <v>324.99999999999994</v>
      </c>
      <c r="AH16" s="75">
        <v>42.093525667417609</v>
      </c>
      <c r="AI16" s="75">
        <v>689.99999999999716</v>
      </c>
      <c r="AJ16" s="76">
        <v>0</v>
      </c>
      <c r="AK16" s="75">
        <v>1082.3251308234896</v>
      </c>
      <c r="AL16" s="75">
        <v>713702.59412425279</v>
      </c>
      <c r="AM16" s="75">
        <v>276.16424462900005</v>
      </c>
      <c r="AN16" s="74">
        <v>640.00753110564244</v>
      </c>
      <c r="AO16" s="75">
        <v>734715.38444094977</v>
      </c>
      <c r="AP16" s="76">
        <v>91.490215980299993</v>
      </c>
      <c r="AQ16" s="75">
        <v>447.49999999999949</v>
      </c>
      <c r="AR16" s="75">
        <v>530362.88653723814</v>
      </c>
      <c r="AS16" s="75">
        <v>34511.371866399997</v>
      </c>
      <c r="AT16" s="77">
        <v>24583.034059359456</v>
      </c>
      <c r="AU16" s="75">
        <v>60337.666666763784</v>
      </c>
      <c r="AV16" s="77">
        <v>135709.38087486752</v>
      </c>
      <c r="AW16" s="78"/>
    </row>
    <row r="17" spans="1:49" ht="14.45" customHeight="1" x14ac:dyDescent="0.25">
      <c r="A17" s="23">
        <f t="shared" si="0"/>
        <v>44500</v>
      </c>
      <c r="B17" s="75">
        <v>6497.3964406167906</v>
      </c>
      <c r="C17" s="75">
        <v>48.020000000000024</v>
      </c>
      <c r="D17" s="75">
        <v>61.489999999999711</v>
      </c>
      <c r="E17" s="75">
        <v>0</v>
      </c>
      <c r="F17" s="74">
        <v>6025.5908432086544</v>
      </c>
      <c r="G17" s="75">
        <v>71.010000000065219</v>
      </c>
      <c r="H17" s="75">
        <v>57.539999999999992</v>
      </c>
      <c r="I17" s="75">
        <v>66.840000000000288</v>
      </c>
      <c r="J17" s="76">
        <v>0</v>
      </c>
      <c r="K17" s="75">
        <v>9282.6695067913297</v>
      </c>
      <c r="L17" s="75">
        <v>5.8300000000000027</v>
      </c>
      <c r="M17" s="75">
        <v>11.49999999999998</v>
      </c>
      <c r="N17" s="74">
        <v>7491.3662383202018</v>
      </c>
      <c r="O17" s="75">
        <v>40.539999999966902</v>
      </c>
      <c r="P17" s="75">
        <v>34.870000000000033</v>
      </c>
      <c r="Q17" s="75">
        <v>76.22999999999972</v>
      </c>
      <c r="R17" s="76">
        <v>0</v>
      </c>
      <c r="S17" s="75">
        <v>6749.6333542978937</v>
      </c>
      <c r="T17" s="75">
        <v>83.701220625086876</v>
      </c>
      <c r="U17" s="75">
        <v>0</v>
      </c>
      <c r="V17" s="74">
        <v>7624.2778609579982</v>
      </c>
      <c r="W17" s="75">
        <v>14.170000000000027</v>
      </c>
      <c r="X17" s="76">
        <v>17.199999999999985</v>
      </c>
      <c r="Y17" s="75">
        <v>6057.6002204724346</v>
      </c>
      <c r="Z17" s="75">
        <v>42.067000000048608</v>
      </c>
      <c r="AA17" s="75">
        <v>39.50999999999997</v>
      </c>
      <c r="AB17" s="79">
        <v>21.459999999999976</v>
      </c>
      <c r="AC17" s="75">
        <v>0</v>
      </c>
      <c r="AD17" s="74">
        <v>3582.1727794947469</v>
      </c>
      <c r="AE17" s="75">
        <v>10126.826349414134</v>
      </c>
      <c r="AF17" s="75">
        <v>484.9470000003015</v>
      </c>
      <c r="AG17" s="75">
        <v>442.64000000000004</v>
      </c>
      <c r="AH17" s="75">
        <v>28.688750502041085</v>
      </c>
      <c r="AI17" s="75">
        <v>639.99999999999716</v>
      </c>
      <c r="AJ17" s="76">
        <v>0</v>
      </c>
      <c r="AK17" s="75">
        <v>1083.7514967716522</v>
      </c>
      <c r="AL17" s="75">
        <v>521072.7026628399</v>
      </c>
      <c r="AM17" s="75">
        <v>205.02482085600002</v>
      </c>
      <c r="AN17" s="74">
        <v>632.99732935367388</v>
      </c>
      <c r="AO17" s="75">
        <v>679141.68721643439</v>
      </c>
      <c r="AP17" s="76">
        <v>82.126314149600006</v>
      </c>
      <c r="AQ17" s="75">
        <v>447.49999999999949</v>
      </c>
      <c r="AR17" s="75">
        <v>470553.67232736934</v>
      </c>
      <c r="AS17" s="75">
        <v>30973.528849900002</v>
      </c>
      <c r="AT17" s="77">
        <v>23522.801482902527</v>
      </c>
      <c r="AU17" s="75">
        <v>46385.666666698904</v>
      </c>
      <c r="AV17" s="77">
        <v>167799.02380256739</v>
      </c>
      <c r="AW17" s="78"/>
    </row>
    <row r="18" spans="1:49" ht="14.45" customHeight="1" x14ac:dyDescent="0.25">
      <c r="A18" s="23">
        <f t="shared" si="0"/>
        <v>44530</v>
      </c>
      <c r="B18" s="75">
        <v>6493.3557735892318</v>
      </c>
      <c r="C18" s="75">
        <v>41.830000000000027</v>
      </c>
      <c r="D18" s="75">
        <v>69.920000000000258</v>
      </c>
      <c r="E18" s="75">
        <v>0</v>
      </c>
      <c r="F18" s="74">
        <v>6025.9656542322773</v>
      </c>
      <c r="G18" s="75">
        <v>78.570000000085685</v>
      </c>
      <c r="H18" s="75">
        <v>50.479999999999983</v>
      </c>
      <c r="I18" s="75">
        <v>60.69000000000014</v>
      </c>
      <c r="J18" s="76">
        <v>0</v>
      </c>
      <c r="K18" s="75">
        <v>9282.3941623359497</v>
      </c>
      <c r="L18" s="75">
        <v>4.79</v>
      </c>
      <c r="M18" s="75">
        <v>5.0499999999999972</v>
      </c>
      <c r="N18" s="74">
        <v>7492.5718868110162</v>
      </c>
      <c r="O18" s="75">
        <v>30.010000000030235</v>
      </c>
      <c r="P18" s="75">
        <v>29.749999999999982</v>
      </c>
      <c r="Q18" s="75">
        <v>20.290000000000024</v>
      </c>
      <c r="R18" s="76">
        <v>0</v>
      </c>
      <c r="S18" s="75">
        <v>6749.6333542978937</v>
      </c>
      <c r="T18" s="75">
        <v>26.780390541589341</v>
      </c>
      <c r="U18" s="75">
        <v>0</v>
      </c>
      <c r="V18" s="74">
        <v>7627.8792057414621</v>
      </c>
      <c r="W18" s="75">
        <v>8.3699999999999903</v>
      </c>
      <c r="X18" s="76">
        <v>2.4799999999999986</v>
      </c>
      <c r="Y18" s="75">
        <v>6057.8373568569486</v>
      </c>
      <c r="Z18" s="75">
        <v>24.673000000019144</v>
      </c>
      <c r="AA18" s="75">
        <v>30.870000000000029</v>
      </c>
      <c r="AB18" s="79">
        <v>20.769999999999989</v>
      </c>
      <c r="AC18" s="75">
        <v>0</v>
      </c>
      <c r="AD18" s="74">
        <v>3579.6389182086577</v>
      </c>
      <c r="AE18" s="75">
        <v>9908.6408970566881</v>
      </c>
      <c r="AF18" s="75">
        <v>431.79900000027396</v>
      </c>
      <c r="AG18" s="75">
        <v>440.78999999999996</v>
      </c>
      <c r="AH18" s="75">
        <v>27.439283168201541</v>
      </c>
      <c r="AI18" s="75">
        <v>640.00000000000193</v>
      </c>
      <c r="AJ18" s="76">
        <v>0</v>
      </c>
      <c r="AK18" s="75">
        <v>1083.8503810564293</v>
      </c>
      <c r="AL18" s="75">
        <v>639724.71578927455</v>
      </c>
      <c r="AM18" s="75">
        <v>254.849652021</v>
      </c>
      <c r="AN18" s="74">
        <v>634.99500232611479</v>
      </c>
      <c r="AO18" s="75">
        <v>559563.96210814652</v>
      </c>
      <c r="AP18" s="76">
        <v>66.743778344600003</v>
      </c>
      <c r="AQ18" s="75">
        <v>447.49999999999949</v>
      </c>
      <c r="AR18" s="75">
        <v>355284.46126101678</v>
      </c>
      <c r="AS18" s="75">
        <v>23088.8005343</v>
      </c>
      <c r="AT18" s="77">
        <v>16775.329300589445</v>
      </c>
      <c r="AU18" s="75">
        <v>44828.666666610479</v>
      </c>
      <c r="AV18" s="77">
        <v>161588.09690097053</v>
      </c>
      <c r="AW18" s="78"/>
    </row>
    <row r="19" spans="1:49" ht="14.45" customHeight="1" x14ac:dyDescent="0.25">
      <c r="A19" s="23">
        <f t="shared" si="0"/>
        <v>44561</v>
      </c>
      <c r="B19" s="75">
        <v>6487.2002375984184</v>
      </c>
      <c r="C19" s="75">
        <v>31.99</v>
      </c>
      <c r="D19" s="75">
        <v>72.250000000000071</v>
      </c>
      <c r="E19" s="75">
        <v>0</v>
      </c>
      <c r="F19" s="74">
        <v>6025.677300360886</v>
      </c>
      <c r="G19" s="75">
        <v>75.109999999898506</v>
      </c>
      <c r="H19" s="75">
        <v>34.849999999999987</v>
      </c>
      <c r="I19" s="75">
        <v>84.549999999999741</v>
      </c>
      <c r="J19" s="76">
        <v>0</v>
      </c>
      <c r="K19" s="75">
        <v>9281.8375900590454</v>
      </c>
      <c r="L19" s="75">
        <v>4.6799999999999979</v>
      </c>
      <c r="M19" s="75">
        <v>5.200000000000002</v>
      </c>
      <c r="N19" s="74">
        <v>7491.2658066929052</v>
      </c>
      <c r="O19" s="75">
        <v>26.160000000000817</v>
      </c>
      <c r="P19" s="75">
        <v>25.639999999999979</v>
      </c>
      <c r="Q19" s="75">
        <v>36.249999999999986</v>
      </c>
      <c r="R19" s="76">
        <v>0</v>
      </c>
      <c r="S19" s="75">
        <v>6749.6333542978937</v>
      </c>
      <c r="T19" s="75">
        <v>43.040627666759697</v>
      </c>
      <c r="U19" s="75">
        <v>0</v>
      </c>
      <c r="V19" s="74">
        <v>7630.431609744086</v>
      </c>
      <c r="W19" s="75">
        <v>6.3400000000000283</v>
      </c>
      <c r="X19" s="76">
        <v>1.8399999999999976</v>
      </c>
      <c r="Y19" s="75">
        <v>6057.6443233267655</v>
      </c>
      <c r="Z19" s="75">
        <v>19.679000000002983</v>
      </c>
      <c r="AA19" s="75">
        <v>25.070000000000011</v>
      </c>
      <c r="AB19" s="79">
        <v>21.459999999999976</v>
      </c>
      <c r="AC19" s="75">
        <v>0</v>
      </c>
      <c r="AD19" s="74">
        <v>3576.1229492125944</v>
      </c>
      <c r="AE19" s="75">
        <v>9611.0455361636214</v>
      </c>
      <c r="AF19" s="75">
        <v>420.12099999958127</v>
      </c>
      <c r="AG19" s="75">
        <v>362.53</v>
      </c>
      <c r="AH19" s="75">
        <v>21.523982567580497</v>
      </c>
      <c r="AI19" s="75">
        <v>720.00000000000307</v>
      </c>
      <c r="AJ19" s="76">
        <v>0</v>
      </c>
      <c r="AK19" s="75">
        <v>1086.7030599507864</v>
      </c>
      <c r="AL19" s="75">
        <v>477115.46245444688</v>
      </c>
      <c r="AM19" s="75">
        <v>187.73014183400002</v>
      </c>
      <c r="AN19" s="74">
        <v>639.50562092519613</v>
      </c>
      <c r="AO19" s="75">
        <v>337401.27510182711</v>
      </c>
      <c r="AP19" s="76">
        <v>41.771176905799997</v>
      </c>
      <c r="AQ19" s="75">
        <v>446.49999999999949</v>
      </c>
      <c r="AR19" s="75">
        <v>236863.44934544526</v>
      </c>
      <c r="AS19" s="75">
        <v>14675.7187675</v>
      </c>
      <c r="AT19" s="77">
        <v>12222.665272745455</v>
      </c>
      <c r="AU19" s="75">
        <v>46309.666666595011</v>
      </c>
      <c r="AV19" s="77">
        <v>83950.196056264031</v>
      </c>
      <c r="AW19" s="78"/>
    </row>
    <row r="20" spans="1:49" ht="14.45" customHeight="1" x14ac:dyDescent="0.25">
      <c r="A20" s="23">
        <f t="shared" si="0"/>
        <v>44592</v>
      </c>
      <c r="B20" s="75">
        <v>6480.1115707349018</v>
      </c>
      <c r="C20" s="75">
        <v>30.310000000000013</v>
      </c>
      <c r="D20" s="75">
        <v>72.250000000000071</v>
      </c>
      <c r="E20" s="75">
        <v>0</v>
      </c>
      <c r="F20" s="74">
        <v>6025.5744213910693</v>
      </c>
      <c r="G20" s="75">
        <v>82.279999999985634</v>
      </c>
      <c r="H20" s="75">
        <v>40.340000000000011</v>
      </c>
      <c r="I20" s="75">
        <v>84.549999999999741</v>
      </c>
      <c r="J20" s="76">
        <v>0</v>
      </c>
      <c r="K20" s="75">
        <v>9280.9121362204623</v>
      </c>
      <c r="L20" s="75">
        <v>4.3500000000000014</v>
      </c>
      <c r="M20" s="75">
        <v>5.200000000000002</v>
      </c>
      <c r="N20" s="74">
        <v>7489.8410229002538</v>
      </c>
      <c r="O20" s="75">
        <v>25.159999999993815</v>
      </c>
      <c r="P20" s="75">
        <v>24.309999999999974</v>
      </c>
      <c r="Q20" s="75">
        <v>36.099999999999994</v>
      </c>
      <c r="R20" s="76">
        <v>0</v>
      </c>
      <c r="S20" s="75">
        <v>6749.6333542978937</v>
      </c>
      <c r="T20" s="75">
        <v>43.040627666759697</v>
      </c>
      <c r="U20" s="75">
        <v>0</v>
      </c>
      <c r="V20" s="74">
        <v>7632.3502811679709</v>
      </c>
      <c r="W20" s="75">
        <v>5.389999999999997</v>
      </c>
      <c r="X20" s="76">
        <v>1.8399999999999976</v>
      </c>
      <c r="Y20" s="75">
        <v>6057.3461631889695</v>
      </c>
      <c r="Z20" s="75">
        <v>18.369999999991862</v>
      </c>
      <c r="AA20" s="75">
        <v>21.919999999999973</v>
      </c>
      <c r="AB20" s="79">
        <v>21.459999999999976</v>
      </c>
      <c r="AC20" s="75">
        <v>0</v>
      </c>
      <c r="AD20" s="74">
        <v>3571.0809174868727</v>
      </c>
      <c r="AE20" s="75">
        <v>9194.7301111055549</v>
      </c>
      <c r="AF20" s="75">
        <v>416.7199999996007</v>
      </c>
      <c r="AG20" s="75">
        <v>361.18000000000006</v>
      </c>
      <c r="AH20" s="75">
        <v>6.3406597823121054</v>
      </c>
      <c r="AI20" s="75">
        <v>860.0000000000025</v>
      </c>
      <c r="AJ20" s="76">
        <v>0</v>
      </c>
      <c r="AK20" s="75">
        <v>1091.0034210367442</v>
      </c>
      <c r="AL20" s="75">
        <v>519512.8236050508</v>
      </c>
      <c r="AM20" s="75">
        <v>206.77400439799999</v>
      </c>
      <c r="AN20" s="74">
        <v>641.79754691929065</v>
      </c>
      <c r="AO20" s="75">
        <v>426955.94094168651</v>
      </c>
      <c r="AP20" s="76">
        <v>53.901872597000001</v>
      </c>
      <c r="AQ20" s="75">
        <v>446.49999999999949</v>
      </c>
      <c r="AR20" s="75">
        <v>255503.56996647175</v>
      </c>
      <c r="AS20" s="75">
        <v>16007.025911999999</v>
      </c>
      <c r="AT20" s="77">
        <v>10785.364137203596</v>
      </c>
      <c r="AU20" s="75">
        <v>89889.33333322953</v>
      </c>
      <c r="AV20" s="77">
        <v>90721.345097443394</v>
      </c>
      <c r="AW20" s="78"/>
    </row>
    <row r="21" spans="1:49" ht="14.45" customHeight="1" x14ac:dyDescent="0.25">
      <c r="A21" s="23">
        <f t="shared" si="0"/>
        <v>44620</v>
      </c>
      <c r="B21" s="75">
        <v>6472.3279347440875</v>
      </c>
      <c r="C21" s="75">
        <v>27.659999999999979</v>
      </c>
      <c r="D21" s="75">
        <v>65.259999999999792</v>
      </c>
      <c r="E21" s="75">
        <v>0</v>
      </c>
      <c r="F21" s="74">
        <v>6025.6691322834586</v>
      </c>
      <c r="G21" s="75">
        <v>82.140000000087355</v>
      </c>
      <c r="H21" s="75">
        <v>44.54</v>
      </c>
      <c r="I21" s="75">
        <v>76.360000000000255</v>
      </c>
      <c r="J21" s="76">
        <v>0</v>
      </c>
      <c r="K21" s="75">
        <v>9279.9089735892285</v>
      </c>
      <c r="L21" s="75">
        <v>3.799999999999998</v>
      </c>
      <c r="M21" s="75">
        <v>4.7</v>
      </c>
      <c r="N21" s="74">
        <v>7488.6312635170516</v>
      </c>
      <c r="O21" s="75">
        <v>23.289999999980928</v>
      </c>
      <c r="P21" s="75">
        <v>22.389999999999986</v>
      </c>
      <c r="Q21" s="75">
        <v>32.440000000000005</v>
      </c>
      <c r="R21" s="76">
        <v>0</v>
      </c>
      <c r="S21" s="75">
        <v>6749.6333542978937</v>
      </c>
      <c r="T21" s="75">
        <v>38.880567000001129</v>
      </c>
      <c r="U21" s="75">
        <v>0</v>
      </c>
      <c r="V21" s="74">
        <v>7633.9367898950059</v>
      </c>
      <c r="W21" s="75">
        <v>4.740000000000002</v>
      </c>
      <c r="X21" s="76">
        <v>1.6699999999999993</v>
      </c>
      <c r="Y21" s="75">
        <v>6057.870481594482</v>
      </c>
      <c r="Z21" s="75">
        <v>26.850000000022391</v>
      </c>
      <c r="AA21" s="75">
        <v>30.25</v>
      </c>
      <c r="AB21" s="79">
        <v>19.380000000000024</v>
      </c>
      <c r="AC21" s="75">
        <v>0</v>
      </c>
      <c r="AD21" s="74">
        <v>3567.2571963582641</v>
      </c>
      <c r="AE21" s="75">
        <v>8887.2270537000677</v>
      </c>
      <c r="AF21" s="75">
        <v>424.4659999999808</v>
      </c>
      <c r="AG21" s="75">
        <v>392.98999999999978</v>
      </c>
      <c r="AH21" s="75">
        <v>6.5693026040424538</v>
      </c>
      <c r="AI21" s="75">
        <v>750</v>
      </c>
      <c r="AJ21" s="76">
        <v>0</v>
      </c>
      <c r="AK21" s="75">
        <v>1094.137864852361</v>
      </c>
      <c r="AL21" s="75">
        <v>520629.24810126133</v>
      </c>
      <c r="AM21" s="75">
        <v>206.50661886399999</v>
      </c>
      <c r="AN21" s="74">
        <v>641.79754691929065</v>
      </c>
      <c r="AO21" s="75">
        <v>500563.33405720792</v>
      </c>
      <c r="AP21" s="76">
        <v>63.298884414</v>
      </c>
      <c r="AQ21" s="75">
        <v>446.49999999999949</v>
      </c>
      <c r="AR21" s="75">
        <v>393876.47991926287</v>
      </c>
      <c r="AS21" s="75">
        <v>25558.567301999999</v>
      </c>
      <c r="AT21" s="77">
        <v>10867.254290097748</v>
      </c>
      <c r="AU21" s="75">
        <v>16677.333333329174</v>
      </c>
      <c r="AV21" s="77">
        <v>85506.185672520543</v>
      </c>
      <c r="AW21" s="78"/>
    </row>
    <row r="22" spans="1:49" ht="14.45" customHeight="1" x14ac:dyDescent="0.25">
      <c r="A22" s="23">
        <f t="shared" si="0"/>
        <v>44651</v>
      </c>
      <c r="B22" s="75">
        <v>6468.5340138123292</v>
      </c>
      <c r="C22" s="75">
        <v>52.600000000000023</v>
      </c>
      <c r="D22" s="75">
        <v>68.430000000000177</v>
      </c>
      <c r="E22" s="75">
        <v>0</v>
      </c>
      <c r="F22" s="74">
        <v>6026.2601801509127</v>
      </c>
      <c r="G22" s="75">
        <v>118.14999999999151</v>
      </c>
      <c r="H22" s="75">
        <v>102.32000000000023</v>
      </c>
      <c r="I22" s="75">
        <v>92.230000000000246</v>
      </c>
      <c r="J22" s="76">
        <v>0</v>
      </c>
      <c r="K22" s="75">
        <v>9279.0452292978916</v>
      </c>
      <c r="L22" s="75">
        <v>4.4399999999999995</v>
      </c>
      <c r="M22" s="75">
        <v>5.200000000000002</v>
      </c>
      <c r="N22" s="74">
        <v>7488.4858941272896</v>
      </c>
      <c r="O22" s="75">
        <v>36.77999999999269</v>
      </c>
      <c r="P22" s="75">
        <v>36.020000000000017</v>
      </c>
      <c r="Q22" s="75">
        <v>37.47000000000002</v>
      </c>
      <c r="R22" s="76">
        <v>0</v>
      </c>
      <c r="S22" s="75">
        <v>6749.6333542978937</v>
      </c>
      <c r="T22" s="75">
        <v>47.800697083407606</v>
      </c>
      <c r="U22" s="75">
        <v>0</v>
      </c>
      <c r="V22" s="74">
        <v>7637.2764877624586</v>
      </c>
      <c r="W22" s="75">
        <v>8.6000000000000245</v>
      </c>
      <c r="X22" s="76">
        <v>1.8399999999999976</v>
      </c>
      <c r="Y22" s="75">
        <v>6061.3645417978933</v>
      </c>
      <c r="Z22" s="75">
        <v>76.887000000036252</v>
      </c>
      <c r="AA22" s="75">
        <v>92.340000000000032</v>
      </c>
      <c r="AB22" s="79">
        <v>25.330000000000013</v>
      </c>
      <c r="AC22" s="75">
        <v>0</v>
      </c>
      <c r="AD22" s="74">
        <v>3564.8298634186312</v>
      </c>
      <c r="AE22" s="75">
        <v>8695.6903672177286</v>
      </c>
      <c r="AF22" s="75">
        <v>604.10699999965084</v>
      </c>
      <c r="AG22" s="75">
        <v>665.37999999999977</v>
      </c>
      <c r="AH22" s="75">
        <v>10.966616848121088</v>
      </c>
      <c r="AI22" s="75">
        <v>800.00000000000273</v>
      </c>
      <c r="AJ22" s="76">
        <v>0</v>
      </c>
      <c r="AK22" s="75">
        <v>1092.7787210498677</v>
      </c>
      <c r="AL22" s="75">
        <v>970281.9314628666</v>
      </c>
      <c r="AM22" s="75">
        <v>397.03479361499996</v>
      </c>
      <c r="AN22" s="74">
        <v>643.05459791010435</v>
      </c>
      <c r="AO22" s="75">
        <v>911359.35724070983</v>
      </c>
      <c r="AP22" s="76">
        <v>113.91487930299999</v>
      </c>
      <c r="AQ22" s="75">
        <v>446.69999999999948</v>
      </c>
      <c r="AR22" s="75">
        <v>639541.26349298761</v>
      </c>
      <c r="AS22" s="75">
        <v>41413.333178200002</v>
      </c>
      <c r="AT22" s="77">
        <v>15159.16030344908</v>
      </c>
      <c r="AU22" s="75">
        <v>85417.333333356306</v>
      </c>
      <c r="AV22" s="77">
        <v>169988.94266708032</v>
      </c>
      <c r="AW22" s="78"/>
    </row>
    <row r="23" spans="1:49" ht="14.45" customHeight="1" x14ac:dyDescent="0.25">
      <c r="A23" s="23">
        <f t="shared" si="0"/>
        <v>44681</v>
      </c>
      <c r="B23" s="75">
        <v>6471.330914238838</v>
      </c>
      <c r="C23" s="75">
        <v>85.429999999999851</v>
      </c>
      <c r="D23" s="75">
        <v>72.989999999999924</v>
      </c>
      <c r="E23" s="75">
        <v>0</v>
      </c>
      <c r="F23" s="74">
        <v>6026.9524262795212</v>
      </c>
      <c r="G23" s="75">
        <v>121.06000000005538</v>
      </c>
      <c r="H23" s="75">
        <v>133.50000000000006</v>
      </c>
      <c r="I23" s="75">
        <v>89.259999999999991</v>
      </c>
      <c r="J23" s="76">
        <v>0</v>
      </c>
      <c r="K23" s="75">
        <v>9277.6057519684946</v>
      </c>
      <c r="L23" s="75">
        <v>8.7600000000000104</v>
      </c>
      <c r="M23" s="75">
        <v>10.000000000000014</v>
      </c>
      <c r="N23" s="74">
        <v>7491.0873647637718</v>
      </c>
      <c r="O23" s="75">
        <v>78.319999999959592</v>
      </c>
      <c r="P23" s="75">
        <v>77.079999999999785</v>
      </c>
      <c r="Q23" s="75">
        <v>57.380000000000017</v>
      </c>
      <c r="R23" s="76">
        <v>0</v>
      </c>
      <c r="S23" s="75">
        <v>6749.6333542978937</v>
      </c>
      <c r="T23" s="75">
        <v>80.931180229249065</v>
      </c>
      <c r="U23" s="75">
        <v>0</v>
      </c>
      <c r="V23" s="74">
        <v>7646.9945189960554</v>
      </c>
      <c r="W23" s="75">
        <v>23.32</v>
      </c>
      <c r="X23" s="76">
        <v>1.7900000000000014</v>
      </c>
      <c r="Y23" s="75">
        <v>6066.9857497047178</v>
      </c>
      <c r="Z23" s="75">
        <v>128.17600000007016</v>
      </c>
      <c r="AA23" s="75">
        <v>170.41999999999993</v>
      </c>
      <c r="AB23" s="79">
        <v>29.690000000000005</v>
      </c>
      <c r="AC23" s="75">
        <v>0</v>
      </c>
      <c r="AD23" s="74">
        <v>3566.7791086614138</v>
      </c>
      <c r="AE23" s="75">
        <v>8849.2763617036035</v>
      </c>
      <c r="AF23" s="75">
        <v>893.3839999998163</v>
      </c>
      <c r="AG23" s="75">
        <v>1055.510000000002</v>
      </c>
      <c r="AH23" s="75">
        <v>17.511129720195701</v>
      </c>
      <c r="AI23" s="75">
        <v>710.0000000000025</v>
      </c>
      <c r="AJ23" s="76">
        <v>0</v>
      </c>
      <c r="AK23" s="75">
        <v>1089.3493477788702</v>
      </c>
      <c r="AL23" s="75">
        <v>1034747.9449120269</v>
      </c>
      <c r="AM23" s="75">
        <v>420.88661920499999</v>
      </c>
      <c r="AN23" s="74">
        <v>642.99981670275531</v>
      </c>
      <c r="AO23" s="75">
        <v>1007052.1262617293</v>
      </c>
      <c r="AP23" s="76">
        <v>125.776567415</v>
      </c>
      <c r="AQ23" s="75">
        <v>448.69999999999948</v>
      </c>
      <c r="AR23" s="75">
        <v>709547.93271928141</v>
      </c>
      <c r="AS23" s="75">
        <v>46703.992316299998</v>
      </c>
      <c r="AT23" s="77">
        <v>21471.598089383337</v>
      </c>
      <c r="AU23" s="75">
        <v>82479.333333396804</v>
      </c>
      <c r="AV23" s="77">
        <v>163730.92796284141</v>
      </c>
      <c r="AW23" s="78"/>
    </row>
    <row r="24" spans="1:49" ht="14.45" customHeight="1" x14ac:dyDescent="0.25">
      <c r="A24" s="23">
        <f t="shared" si="0"/>
        <v>44712</v>
      </c>
      <c r="B24" s="75">
        <v>6484.9921971784706</v>
      </c>
      <c r="C24" s="75">
        <v>163.75000000000014</v>
      </c>
      <c r="D24" s="75">
        <v>91.440000000000254</v>
      </c>
      <c r="E24" s="75">
        <v>0</v>
      </c>
      <c r="F24" s="74">
        <v>6028.9911702755835</v>
      </c>
      <c r="G24" s="75">
        <v>172.85000000009231</v>
      </c>
      <c r="H24" s="75">
        <v>245.1600000000002</v>
      </c>
      <c r="I24" s="75">
        <v>84.689999999999742</v>
      </c>
      <c r="J24" s="76">
        <v>0</v>
      </c>
      <c r="K24" s="75">
        <v>9291.9593153215119</v>
      </c>
      <c r="L24" s="75">
        <v>28.279999999999987</v>
      </c>
      <c r="M24" s="75">
        <v>14.000000000000002</v>
      </c>
      <c r="N24" s="74">
        <v>7490.532192749336</v>
      </c>
      <c r="O24" s="75">
        <v>206.79000000009987</v>
      </c>
      <c r="P24" s="75">
        <v>221.07000000000025</v>
      </c>
      <c r="Q24" s="75">
        <v>210.08999999999975</v>
      </c>
      <c r="R24" s="76">
        <v>4.1662097720763311</v>
      </c>
      <c r="S24" s="75">
        <v>6749.6333542978937</v>
      </c>
      <c r="T24" s="75">
        <v>270.25394114560925</v>
      </c>
      <c r="U24" s="75">
        <v>134.11644628095857</v>
      </c>
      <c r="V24" s="74">
        <v>7658.9778343175776</v>
      </c>
      <c r="W24" s="75">
        <v>71.429999999999836</v>
      </c>
      <c r="X24" s="76">
        <v>41.41</v>
      </c>
      <c r="Y24" s="75">
        <v>6067.7268592519622</v>
      </c>
      <c r="Z24" s="75">
        <v>210.35699999998741</v>
      </c>
      <c r="AA24" s="75">
        <v>277.11000000000013</v>
      </c>
      <c r="AB24" s="79">
        <v>159.72999999999979</v>
      </c>
      <c r="AC24" s="75">
        <v>0</v>
      </c>
      <c r="AD24" s="74">
        <v>3582.3412697506528</v>
      </c>
      <c r="AE24" s="75">
        <v>10141.444563927818</v>
      </c>
      <c r="AF24" s="75">
        <v>2127.7120000006817</v>
      </c>
      <c r="AG24" s="75">
        <v>2342.9899999999989</v>
      </c>
      <c r="AH24" s="75">
        <v>22.170339023533817</v>
      </c>
      <c r="AI24" s="75">
        <v>710.00000000000011</v>
      </c>
      <c r="AJ24" s="76">
        <v>0</v>
      </c>
      <c r="AK24" s="75">
        <v>1085.9398409547232</v>
      </c>
      <c r="AL24" s="75">
        <v>996078.71292683855</v>
      </c>
      <c r="AM24" s="75">
        <v>390.18454400100001</v>
      </c>
      <c r="AN24" s="74">
        <v>642.99981670275531</v>
      </c>
      <c r="AO24" s="75">
        <v>964078.39977350715</v>
      </c>
      <c r="AP24" s="76">
        <v>120.74464953900001</v>
      </c>
      <c r="AQ24" s="75">
        <v>448.69999999999948</v>
      </c>
      <c r="AR24" s="75">
        <v>707637.50328545005</v>
      </c>
      <c r="AS24" s="75">
        <v>47053.975707199999</v>
      </c>
      <c r="AT24" s="77">
        <v>27987.468254985997</v>
      </c>
      <c r="AU24" s="75">
        <v>74209.33333340635</v>
      </c>
      <c r="AV24" s="77">
        <v>172075.53625345964</v>
      </c>
      <c r="AW24" s="78"/>
    </row>
    <row r="25" spans="1:49" ht="14.45" customHeight="1" x14ac:dyDescent="0.25">
      <c r="A25" s="23">
        <f t="shared" si="0"/>
        <v>44742</v>
      </c>
      <c r="B25" s="75">
        <v>6499.748688910754</v>
      </c>
      <c r="C25" s="75">
        <v>299.22999999999979</v>
      </c>
      <c r="D25" s="75">
        <v>195.7699999999997</v>
      </c>
      <c r="E25" s="75">
        <v>92.460850298719194</v>
      </c>
      <c r="F25" s="74">
        <v>6030.6296130577366</v>
      </c>
      <c r="G25" s="75">
        <v>286.25000000042002</v>
      </c>
      <c r="H25" s="75">
        <v>389.70999999999987</v>
      </c>
      <c r="I25" s="75">
        <v>210.05000000000013</v>
      </c>
      <c r="J25" s="76">
        <v>0</v>
      </c>
      <c r="K25" s="75">
        <v>9307.9940995406723</v>
      </c>
      <c r="L25" s="75">
        <v>41.72000000000002</v>
      </c>
      <c r="M25" s="75">
        <v>19.999999999999975</v>
      </c>
      <c r="N25" s="74">
        <v>7514.1152974081278</v>
      </c>
      <c r="O25" s="75">
        <v>239.33000000091434</v>
      </c>
      <c r="P25" s="75">
        <v>261.04999999999984</v>
      </c>
      <c r="Q25" s="75">
        <v>41.409999999999975</v>
      </c>
      <c r="R25" s="76">
        <v>0</v>
      </c>
      <c r="S25" s="75">
        <v>6749.6333542978937</v>
      </c>
      <c r="T25" s="75">
        <v>95.211388479171745</v>
      </c>
      <c r="U25" s="75">
        <v>0</v>
      </c>
      <c r="V25" s="74">
        <v>7658.7995771325377</v>
      </c>
      <c r="W25" s="75">
        <v>70.349999999999724</v>
      </c>
      <c r="X25" s="76">
        <v>70.250000000000071</v>
      </c>
      <c r="Y25" s="75">
        <v>6058.8519492454006</v>
      </c>
      <c r="Z25" s="75">
        <v>194.68999999990234</v>
      </c>
      <c r="AA25" s="75">
        <v>223.57000000000002</v>
      </c>
      <c r="AB25" s="79">
        <v>252.69999999999982</v>
      </c>
      <c r="AC25" s="75">
        <v>0</v>
      </c>
      <c r="AD25" s="74">
        <v>3598.558672998684</v>
      </c>
      <c r="AE25" s="75">
        <v>11613.097026690622</v>
      </c>
      <c r="AF25" s="75">
        <v>2378.4250000009056</v>
      </c>
      <c r="AG25" s="75">
        <v>2666.0499999999984</v>
      </c>
      <c r="AH25" s="75">
        <v>39.040337140387578</v>
      </c>
      <c r="AI25" s="75">
        <v>750.00000000000114</v>
      </c>
      <c r="AJ25" s="76">
        <v>0</v>
      </c>
      <c r="AK25" s="75">
        <v>1083.1188994619413</v>
      </c>
      <c r="AL25" s="75">
        <v>950106.92938093131</v>
      </c>
      <c r="AM25" s="75">
        <v>371.98505125100002</v>
      </c>
      <c r="AN25" s="74">
        <v>642.99981670275531</v>
      </c>
      <c r="AO25" s="75">
        <v>909897.01439494512</v>
      </c>
      <c r="AP25" s="76">
        <v>114.07056922400001</v>
      </c>
      <c r="AQ25" s="75">
        <v>448.69999999999948</v>
      </c>
      <c r="AR25" s="75">
        <v>720233.92434773955</v>
      </c>
      <c r="AS25" s="75">
        <v>47962.589322799999</v>
      </c>
      <c r="AT25" s="77">
        <v>28081.426430512434</v>
      </c>
      <c r="AU25" s="75">
        <v>71633.333333232411</v>
      </c>
      <c r="AV25" s="77">
        <v>100107.92564020479</v>
      </c>
      <c r="AW25" s="78"/>
    </row>
    <row r="26" spans="1:49" ht="14.45" customHeight="1" x14ac:dyDescent="0.25">
      <c r="A26" s="23">
        <f t="shared" si="0"/>
        <v>44773</v>
      </c>
      <c r="B26" s="75">
        <v>6503.7300567585235</v>
      </c>
      <c r="C26" s="75">
        <v>177.52000000000007</v>
      </c>
      <c r="D26" s="75">
        <v>144.19999999999979</v>
      </c>
      <c r="E26" s="75">
        <v>42.463740426415669</v>
      </c>
      <c r="F26" s="74">
        <v>6033.0634760498624</v>
      </c>
      <c r="G26" s="75">
        <v>176.84999999990319</v>
      </c>
      <c r="H26" s="75">
        <v>210.1699999999999</v>
      </c>
      <c r="I26" s="75">
        <v>63.669999999999781</v>
      </c>
      <c r="J26" s="76">
        <v>0</v>
      </c>
      <c r="K26" s="75">
        <v>9305.7798431102256</v>
      </c>
      <c r="L26" s="75">
        <v>20.140000000000033</v>
      </c>
      <c r="M26" s="75">
        <v>23.499999999999993</v>
      </c>
      <c r="N26" s="74">
        <v>7518.6632880249263</v>
      </c>
      <c r="O26" s="75">
        <v>120.21000000001895</v>
      </c>
      <c r="P26" s="75">
        <v>116.84999999999992</v>
      </c>
      <c r="Q26" s="75">
        <v>77.600000000000037</v>
      </c>
      <c r="R26" s="76">
        <v>0</v>
      </c>
      <c r="S26" s="75">
        <v>6749.6333542978937</v>
      </c>
      <c r="T26" s="75">
        <v>98.381434708236412</v>
      </c>
      <c r="U26" s="75">
        <v>0</v>
      </c>
      <c r="V26" s="74">
        <v>7653.6395600721708</v>
      </c>
      <c r="W26" s="75">
        <v>29.009999999999987</v>
      </c>
      <c r="X26" s="76">
        <v>41.54</v>
      </c>
      <c r="Y26" s="75">
        <v>6057.0183305774217</v>
      </c>
      <c r="Z26" s="75">
        <v>73.706999999974897</v>
      </c>
      <c r="AA26" s="75">
        <v>65.989999999999853</v>
      </c>
      <c r="AB26" s="79">
        <v>34.659999999999975</v>
      </c>
      <c r="AC26" s="75">
        <v>0</v>
      </c>
      <c r="AD26" s="74">
        <v>3598.9159246391037</v>
      </c>
      <c r="AE26" s="75">
        <v>11646.957336529511</v>
      </c>
      <c r="AF26" s="75">
        <v>936.22300000078599</v>
      </c>
      <c r="AG26" s="75">
        <v>1090.8399999999995</v>
      </c>
      <c r="AH26" s="75">
        <v>49.653866310893619</v>
      </c>
      <c r="AI26" s="75">
        <v>849.99999999999932</v>
      </c>
      <c r="AJ26" s="76">
        <v>0</v>
      </c>
      <c r="AK26" s="75">
        <v>1083.0959231430436</v>
      </c>
      <c r="AL26" s="75">
        <v>829372.31798774411</v>
      </c>
      <c r="AM26" s="75">
        <v>324.71855255399998</v>
      </c>
      <c r="AN26" s="74">
        <v>641.99704448162663</v>
      </c>
      <c r="AO26" s="75">
        <v>819498.3238540818</v>
      </c>
      <c r="AP26" s="76">
        <v>102.88147698</v>
      </c>
      <c r="AQ26" s="75">
        <v>447.99999999999949</v>
      </c>
      <c r="AR26" s="75">
        <v>694891.83763817034</v>
      </c>
      <c r="AS26" s="75">
        <v>46002.6186418</v>
      </c>
      <c r="AT26" s="77">
        <v>28576.215354325712</v>
      </c>
      <c r="AU26" s="75">
        <v>74202.333333231058</v>
      </c>
      <c r="AV26" s="77">
        <v>52129.518564855658</v>
      </c>
      <c r="AW26" s="78"/>
    </row>
    <row r="27" spans="1:49" x14ac:dyDescent="0.25">
      <c r="A27" s="23">
        <f t="shared" si="0"/>
        <v>44804</v>
      </c>
      <c r="B27" s="75">
        <v>6503.1792850393631</v>
      </c>
      <c r="C27" s="75">
        <v>76.510000000000318</v>
      </c>
      <c r="D27" s="75">
        <v>78.54999999999977</v>
      </c>
      <c r="E27" s="75">
        <v>0</v>
      </c>
      <c r="F27" s="74">
        <v>6032.8806111548492</v>
      </c>
      <c r="G27" s="75">
        <v>90.669999999911951</v>
      </c>
      <c r="H27" s="75">
        <v>88.629999999999896</v>
      </c>
      <c r="I27" s="75">
        <v>85.089999999999975</v>
      </c>
      <c r="J27" s="76">
        <v>0</v>
      </c>
      <c r="K27" s="75">
        <v>9299.6603592519587</v>
      </c>
      <c r="L27" s="75">
        <v>10.299999999999986</v>
      </c>
      <c r="M27" s="75">
        <v>18.999999999999979</v>
      </c>
      <c r="N27" s="74">
        <v>7516.9162568569473</v>
      </c>
      <c r="O27" s="75">
        <v>72.160000000105853</v>
      </c>
      <c r="P27" s="75">
        <v>63.460000000000093</v>
      </c>
      <c r="Q27" s="75">
        <v>86.829999999999728</v>
      </c>
      <c r="R27" s="76">
        <v>0</v>
      </c>
      <c r="S27" s="75">
        <v>6749.6333542978937</v>
      </c>
      <c r="T27" s="75">
        <v>98.381434708236412</v>
      </c>
      <c r="U27" s="75">
        <v>0</v>
      </c>
      <c r="V27" s="74">
        <v>7645.9313506889685</v>
      </c>
      <c r="W27" s="75">
        <v>19.799999999999976</v>
      </c>
      <c r="X27" s="76">
        <v>37.810000000000016</v>
      </c>
      <c r="Y27" s="75">
        <v>6055.2704546915948</v>
      </c>
      <c r="Z27" s="75">
        <v>61.096000000101327</v>
      </c>
      <c r="AA27" s="75">
        <v>45.090000000000032</v>
      </c>
      <c r="AB27" s="79">
        <v>30.679999999999978</v>
      </c>
      <c r="AC27" s="75">
        <v>0</v>
      </c>
      <c r="AD27" s="74">
        <v>3595.0383959317551</v>
      </c>
      <c r="AE27" s="75">
        <v>11282.783817125992</v>
      </c>
      <c r="AF27" s="75">
        <v>555.79099999915707</v>
      </c>
      <c r="AG27" s="75">
        <v>499.88000000000005</v>
      </c>
      <c r="AH27" s="75">
        <v>49.098401716893385</v>
      </c>
      <c r="AI27" s="75">
        <v>900.00000000000216</v>
      </c>
      <c r="AJ27" s="76">
        <v>0</v>
      </c>
      <c r="AK27" s="75">
        <v>1084.2333979954058</v>
      </c>
      <c r="AL27" s="75">
        <v>788103.07882292732</v>
      </c>
      <c r="AM27" s="75">
        <v>307.53720217599999</v>
      </c>
      <c r="AN27" s="74">
        <v>641.99704448162663</v>
      </c>
      <c r="AO27" s="75">
        <v>753232.75462123146</v>
      </c>
      <c r="AP27" s="76">
        <v>94.494296413499995</v>
      </c>
      <c r="AQ27" s="75">
        <v>447.50000000328043</v>
      </c>
      <c r="AR27" s="75">
        <v>625367.01914195821</v>
      </c>
      <c r="AS27" s="75">
        <v>40990.725495500003</v>
      </c>
      <c r="AT27" s="77">
        <v>29056.350250718766</v>
      </c>
      <c r="AU27" s="75">
        <v>74202.333333231058</v>
      </c>
      <c r="AV27" s="77">
        <v>52129.518564855658</v>
      </c>
      <c r="AW27" s="78"/>
    </row>
    <row r="28" spans="1:49" x14ac:dyDescent="0.25">
      <c r="A28" s="23">
        <f t="shared" si="0"/>
        <v>44834</v>
      </c>
      <c r="B28" s="11">
        <v>6500.3929664041925</v>
      </c>
      <c r="C28" s="11">
        <v>45.86999999999999</v>
      </c>
      <c r="D28" s="11">
        <v>65.449999999999875</v>
      </c>
      <c r="E28" s="11">
        <v>0</v>
      </c>
      <c r="F28" s="10">
        <v>6032.1229905511746</v>
      </c>
      <c r="G28" s="11">
        <v>74.689999999902426</v>
      </c>
      <c r="H28" s="11">
        <v>55.110000000000021</v>
      </c>
      <c r="I28" s="11">
        <v>94.20999999999998</v>
      </c>
      <c r="J28" s="12">
        <v>0</v>
      </c>
      <c r="K28" s="11">
        <v>9291.5513646325362</v>
      </c>
      <c r="L28" s="11">
        <v>7.3700000000000259</v>
      </c>
      <c r="M28" s="11">
        <v>17.499999999999968</v>
      </c>
      <c r="N28" s="10">
        <v>7512.5141742125907</v>
      </c>
      <c r="O28" s="11">
        <v>48.169999999925992</v>
      </c>
      <c r="P28" s="11">
        <v>38.040000000000006</v>
      </c>
      <c r="Q28" s="11">
        <v>86.43999999999977</v>
      </c>
      <c r="R28" s="12">
        <v>0</v>
      </c>
      <c r="S28" s="11">
        <v>6749.6333542978937</v>
      </c>
      <c r="T28" s="11">
        <v>95.211388479171745</v>
      </c>
      <c r="U28" s="11">
        <v>47.240626963548202</v>
      </c>
      <c r="V28" s="10">
        <v>7640.6503755249269</v>
      </c>
      <c r="W28" s="11">
        <v>17.470000000000006</v>
      </c>
      <c r="X28" s="12">
        <v>28.880000000000003</v>
      </c>
      <c r="Y28" s="11">
        <v>6054.7977873687596</v>
      </c>
      <c r="Z28" s="11">
        <v>52.847000000041305</v>
      </c>
      <c r="AA28" s="11">
        <v>43.189999999999991</v>
      </c>
      <c r="AB28" s="41">
        <v>29.690000000000005</v>
      </c>
      <c r="AC28" s="11">
        <v>0</v>
      </c>
      <c r="AD28" s="10">
        <v>3592.992538812332</v>
      </c>
      <c r="AE28" s="11">
        <v>11093.582585299171</v>
      </c>
      <c r="AF28" s="11">
        <v>510.23299999898148</v>
      </c>
      <c r="AG28" s="11">
        <v>408.20999999999992</v>
      </c>
      <c r="AH28" s="11">
        <v>44.570325486598001</v>
      </c>
      <c r="AI28" s="11">
        <v>669.99999999999784</v>
      </c>
      <c r="AJ28" s="12">
        <v>0</v>
      </c>
      <c r="AK28" s="11">
        <v>1083.6188349245394</v>
      </c>
      <c r="AL28" s="11">
        <v>715701.34264762781</v>
      </c>
      <c r="AM28" s="11">
        <v>277.87872212000002</v>
      </c>
      <c r="AN28" s="10">
        <v>640.00753110564244</v>
      </c>
      <c r="AO28" s="11">
        <v>736714.13296432479</v>
      </c>
      <c r="AP28" s="12">
        <v>91.732421154400001</v>
      </c>
      <c r="AQ28" s="11">
        <v>447.49999999999949</v>
      </c>
      <c r="AR28" s="11">
        <v>531459.88653639692</v>
      </c>
      <c r="AS28" s="11">
        <v>34585.369957700001</v>
      </c>
      <c r="AT28" s="13">
        <v>25083.3848328764</v>
      </c>
      <c r="AU28" s="11">
        <v>56163.333333281174</v>
      </c>
      <c r="AV28" s="13">
        <v>140785.46273193593</v>
      </c>
      <c r="AW28" s="78"/>
    </row>
    <row r="29" spans="1:49" x14ac:dyDescent="0.25">
      <c r="A29" s="23">
        <f t="shared" si="0"/>
        <v>44865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11"/>
      <c r="AM29" s="11"/>
      <c r="AN29" s="10"/>
      <c r="AO29" s="11"/>
      <c r="AP29" s="12"/>
      <c r="AQ29" s="11"/>
      <c r="AR29" s="11"/>
      <c r="AS29" s="11"/>
      <c r="AT29" s="13"/>
      <c r="AU29" s="11"/>
      <c r="AV29" s="13"/>
      <c r="AW29" s="78"/>
    </row>
    <row r="30" spans="1:49" x14ac:dyDescent="0.25">
      <c r="A30" s="23">
        <f t="shared" si="0"/>
        <v>44895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11"/>
      <c r="AM30" s="11"/>
      <c r="AN30" s="10"/>
      <c r="AO30" s="11"/>
      <c r="AP30" s="12"/>
      <c r="AQ30" s="11"/>
      <c r="AR30" s="11"/>
      <c r="AS30" s="11"/>
      <c r="AT30" s="13"/>
      <c r="AU30" s="11"/>
      <c r="AV30" s="13"/>
      <c r="AW30" s="78"/>
    </row>
    <row r="31" spans="1:49" x14ac:dyDescent="0.25">
      <c r="A31" s="23">
        <f t="shared" si="0"/>
        <v>44926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spans="1:49" x14ac:dyDescent="0.25">
      <c r="A32" s="23">
        <f t="shared" si="0"/>
        <v>44957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spans="1:49" x14ac:dyDescent="0.25">
      <c r="A33" s="23">
        <f t="shared" si="0"/>
        <v>44985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spans="1:49" x14ac:dyDescent="0.25">
      <c r="A34" s="23">
        <f t="shared" si="0"/>
        <v>45016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spans="1:49" x14ac:dyDescent="0.25">
      <c r="A35" s="24">
        <f t="shared" si="0"/>
        <v>45046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  <row r="39" spans="1:49" x14ac:dyDescent="0.25">
      <c r="N39">
        <f>DAY(A4)</f>
        <v>30</v>
      </c>
      <c r="P39">
        <v>30</v>
      </c>
      <c r="Q39" s="65">
        <f>T4*1.9835*DAY(A4)/1000</f>
        <v>5.184627248050294</v>
      </c>
    </row>
    <row r="40" spans="1:49" x14ac:dyDescent="0.25">
      <c r="P40">
        <v>31</v>
      </c>
      <c r="Q40" s="65">
        <f t="shared" ref="Q40:Q63" si="1">T5*1.9835*DAY(A5)/1000</f>
        <v>5.0550433033046058</v>
      </c>
    </row>
    <row r="41" spans="1:49" x14ac:dyDescent="0.25">
      <c r="Q41" s="65">
        <f t="shared" si="1"/>
        <v>1.3995780102110991</v>
      </c>
    </row>
    <row r="42" spans="1:49" x14ac:dyDescent="0.25">
      <c r="Q42" s="65">
        <f t="shared" si="1"/>
        <v>1.474515733037564</v>
      </c>
    </row>
    <row r="43" spans="1:49" x14ac:dyDescent="0.25">
      <c r="Q43" s="65">
        <f t="shared" si="1"/>
        <v>1.474515733037564</v>
      </c>
    </row>
    <row r="44" spans="1:49" x14ac:dyDescent="0.25">
      <c r="Q44" s="65">
        <f t="shared" si="1"/>
        <v>1.2029706230692983</v>
      </c>
    </row>
    <row r="45" spans="1:49" x14ac:dyDescent="0.25">
      <c r="Q45" s="65">
        <f t="shared" si="1"/>
        <v>1.7819627165761758</v>
      </c>
    </row>
    <row r="46" spans="1:49" x14ac:dyDescent="0.25">
      <c r="Q46" s="65">
        <f t="shared" si="1"/>
        <v>3.7298277925236492</v>
      </c>
    </row>
    <row r="47" spans="1:49" x14ac:dyDescent="0.25">
      <c r="Q47" s="65">
        <f t="shared" si="1"/>
        <v>5.0980858809960052</v>
      </c>
    </row>
    <row r="48" spans="1:49" x14ac:dyDescent="0.25">
      <c r="Q48" s="65">
        <f t="shared" si="1"/>
        <v>12.027325995940352</v>
      </c>
    </row>
    <row r="49" spans="17:17" x14ac:dyDescent="0.25">
      <c r="Q49" s="65">
        <f t="shared" si="1"/>
        <v>5.6711670583162501</v>
      </c>
    </row>
    <row r="50" spans="17:17" x14ac:dyDescent="0.25">
      <c r="Q50" s="65">
        <f t="shared" si="1"/>
        <v>5.6711670583162501</v>
      </c>
    </row>
    <row r="51" spans="17:17" x14ac:dyDescent="0.25">
      <c r="Q51" s="65">
        <f t="shared" si="1"/>
        <v>5.1341662721716519</v>
      </c>
    </row>
    <row r="52" spans="17:17" x14ac:dyDescent="0.25">
      <c r="Q52" s="65">
        <f t="shared" si="1"/>
        <v>5.1466625044056542</v>
      </c>
    </row>
    <row r="53" spans="17:17" x14ac:dyDescent="0.25">
      <c r="Q53" s="65">
        <f t="shared" si="1"/>
        <v>1.5935671391772737</v>
      </c>
    </row>
    <row r="54" spans="17:17" x14ac:dyDescent="0.25">
      <c r="Q54" s="65">
        <f t="shared" si="1"/>
        <v>2.6465036342875536</v>
      </c>
    </row>
    <row r="55" spans="17:17" x14ac:dyDescent="0.25">
      <c r="Q55" s="65">
        <f t="shared" si="1"/>
        <v>2.6465036342875536</v>
      </c>
    </row>
    <row r="56" spans="17:17" x14ac:dyDescent="0.25">
      <c r="Q56" s="65">
        <f t="shared" si="1"/>
        <v>2.1593489300460629</v>
      </c>
    </row>
    <row r="57" spans="17:17" x14ac:dyDescent="0.25">
      <c r="Q57" s="65">
        <f t="shared" si="1"/>
        <v>2.9391931626131087</v>
      </c>
    </row>
    <row r="58" spans="17:17" x14ac:dyDescent="0.25">
      <c r="Q58" s="65">
        <f t="shared" si="1"/>
        <v>4.8158098795414652</v>
      </c>
    </row>
    <row r="59" spans="17:17" x14ac:dyDescent="0.25">
      <c r="Q59" s="65">
        <f t="shared" si="1"/>
        <v>16.617509460131796</v>
      </c>
    </row>
    <row r="60" spans="17:17" x14ac:dyDescent="0.25">
      <c r="Q60" s="65">
        <f>T25*1.9835*DAY(A25)/1000</f>
        <v>5.6655536714531145</v>
      </c>
    </row>
    <row r="61" spans="17:17" x14ac:dyDescent="0.25">
      <c r="Q61" s="65">
        <f t="shared" si="1"/>
        <v>6.0493268480573956</v>
      </c>
    </row>
    <row r="62" spans="17:17" x14ac:dyDescent="0.25">
      <c r="Q62" s="65">
        <f t="shared" si="1"/>
        <v>6.0493268480573956</v>
      </c>
    </row>
    <row r="63" spans="17:17" x14ac:dyDescent="0.25">
      <c r="Q63" s="65">
        <f t="shared" si="1"/>
        <v>5.6655536714531145</v>
      </c>
    </row>
    <row r="64" spans="17:17" x14ac:dyDescent="0.25">
      <c r="Q64" s="65"/>
    </row>
    <row r="65" spans="17:17" x14ac:dyDescent="0.25">
      <c r="Q65" s="65"/>
    </row>
    <row r="66" spans="17:17" x14ac:dyDescent="0.25">
      <c r="Q66" s="65"/>
    </row>
    <row r="67" spans="17:17" x14ac:dyDescent="0.25">
      <c r="Q67" s="65"/>
    </row>
    <row r="68" spans="17:17" x14ac:dyDescent="0.25">
      <c r="Q68" s="65"/>
    </row>
    <row r="69" spans="17:17" x14ac:dyDescent="0.25">
      <c r="Q69" s="65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V35"/>
  <sheetViews>
    <sheetView zoomScale="90" zoomScaleNormal="90" workbookViewId="0">
      <pane xSplit="1" ySplit="3" topLeftCell="W4" activePane="bottomRight" state="frozen"/>
      <selection pane="topRight" activeCell="B1" sqref="B1"/>
      <selection pane="bottomLeft" activeCell="A4" sqref="A4"/>
      <selection pane="bottomRight" activeCell="B4" sqref="B4:AV29"/>
    </sheetView>
  </sheetViews>
  <sheetFormatPr defaultRowHeight="15" x14ac:dyDescent="0.25"/>
  <cols>
    <col min="1" max="1" width="13.28515625" customWidth="1"/>
    <col min="2" max="3" width="10" customWidth="1"/>
    <col min="4" max="4" width="10.140625" customWidth="1"/>
    <col min="5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0.57031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30" width="9.28515625" bestFit="1" customWidth="1"/>
    <col min="31" max="34" width="9.28515625" customWidth="1"/>
    <col min="35" max="37" width="9.28515625" bestFit="1" customWidth="1"/>
    <col min="38" max="38" width="11.5703125" bestFit="1" customWidth="1"/>
    <col min="39" max="40" width="9.28515625" bestFit="1" customWidth="1"/>
    <col min="41" max="41" width="11.5703125" bestFit="1" customWidth="1"/>
    <col min="42" max="43" width="9.28515625" bestFit="1" customWidth="1"/>
    <col min="44" max="44" width="10.5703125" bestFit="1" customWidth="1"/>
    <col min="45" max="45" width="9.5703125" bestFit="1" customWidth="1"/>
    <col min="46" max="46" width="21.85546875" customWidth="1"/>
    <col min="47" max="47" width="19.140625" customWidth="1"/>
    <col min="48" max="48" width="20.85546875" customWidth="1"/>
  </cols>
  <sheetData>
    <row r="1" spans="1:48" ht="18.75" x14ac:dyDescent="0.3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spans="1:48" x14ac:dyDescent="0.25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spans="1:48" x14ac:dyDescent="0.25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spans="1:48" x14ac:dyDescent="0.25">
      <c r="A4" s="32">
        <f>RunInformation!AD5</f>
        <v>44104</v>
      </c>
      <c r="B4" s="6">
        <v>6495.7522510170529</v>
      </c>
      <c r="C4" s="7">
        <v>35</v>
      </c>
      <c r="D4" s="7">
        <v>61.590891509388385</v>
      </c>
      <c r="E4" s="7">
        <v>0</v>
      </c>
      <c r="F4" s="6">
        <v>6026.9434024606235</v>
      </c>
      <c r="G4" s="7">
        <v>64.590891509430406</v>
      </c>
      <c r="H4" s="7">
        <v>38.000000000000014</v>
      </c>
      <c r="I4" s="7">
        <v>59.50413223140491</v>
      </c>
      <c r="J4" s="8">
        <v>0</v>
      </c>
      <c r="K4" s="7">
        <v>9307.1388499343739</v>
      </c>
      <c r="L4" s="7">
        <v>4.5000000000000009</v>
      </c>
      <c r="M4" s="7">
        <v>11.900826446280982</v>
      </c>
      <c r="N4" s="6">
        <v>7470.7845617125904</v>
      </c>
      <c r="O4" s="7">
        <v>31.400826446238938</v>
      </c>
      <c r="P4" s="7">
        <v>24.000000000000011</v>
      </c>
      <c r="Q4" s="7">
        <v>84.810136080272954</v>
      </c>
      <c r="R4" s="8">
        <v>0</v>
      </c>
      <c r="S4" s="7">
        <v>6753.0362930774199</v>
      </c>
      <c r="T4" s="71">
        <v>1426.024621664907</v>
      </c>
      <c r="U4" s="71">
        <v>0</v>
      </c>
      <c r="V4" s="6">
        <v>7637.6677784120657</v>
      </c>
      <c r="W4" s="7">
        <v>6.9999999999999991</v>
      </c>
      <c r="X4" s="8">
        <v>1.7851239000009493</v>
      </c>
      <c r="Y4" s="7">
        <v>6044.1077740485498</v>
      </c>
      <c r="Z4" s="7">
        <v>4.7851238999925414</v>
      </c>
      <c r="AA4" s="7">
        <v>10.000000000000014</v>
      </c>
      <c r="AB4" s="40">
        <v>20.826446280991718</v>
      </c>
      <c r="AC4" s="7">
        <v>0</v>
      </c>
      <c r="AD4" s="6">
        <v>3596.5675068897594</v>
      </c>
      <c r="AE4" s="7">
        <v>11425.523339541713</v>
      </c>
      <c r="AF4" s="7">
        <v>326.05093616498891</v>
      </c>
      <c r="AG4" s="7">
        <v>209.99999999999997</v>
      </c>
      <c r="AH4" s="7">
        <v>45.804941192434306</v>
      </c>
      <c r="AI4" s="7">
        <v>601.93774710211835</v>
      </c>
      <c r="AJ4" s="8">
        <v>0</v>
      </c>
      <c r="AK4" s="7">
        <v>1083.3069339632534</v>
      </c>
      <c r="AL4" s="37">
        <v>661273.58411409415</v>
      </c>
      <c r="AM4" s="7">
        <v>256.19980507600002</v>
      </c>
      <c r="AN4" s="6">
        <v>635.49698818569482</v>
      </c>
      <c r="AO4" s="40">
        <v>817895.71436964488</v>
      </c>
      <c r="AP4" s="8">
        <v>100.028412506</v>
      </c>
      <c r="AQ4" s="7">
        <v>447.49999999999949</v>
      </c>
      <c r="AR4" s="40">
        <v>557525.99999999418</v>
      </c>
      <c r="AS4" s="40">
        <v>36448.550391899997</v>
      </c>
      <c r="AT4" s="9">
        <v>22056.626412558951</v>
      </c>
      <c r="AU4" s="7">
        <v>95350.000000008324</v>
      </c>
      <c r="AV4" s="9">
        <v>166270.99999997934</v>
      </c>
    </row>
    <row r="5" spans="1:48" x14ac:dyDescent="0.25">
      <c r="A5" s="32">
        <f>EOMONTH(A4,1)</f>
        <v>44135</v>
      </c>
      <c r="B5" s="10">
        <v>6492.2658467191532</v>
      </c>
      <c r="C5" s="11">
        <v>40.000000000000014</v>
      </c>
      <c r="D5" s="11">
        <v>63.345155444245357</v>
      </c>
      <c r="E5" s="11">
        <v>38.534262460221242</v>
      </c>
      <c r="F5" s="10">
        <v>6026.461660072172</v>
      </c>
      <c r="G5" s="11">
        <v>68.34515544428038</v>
      </c>
      <c r="H5" s="11">
        <v>44.999999999999993</v>
      </c>
      <c r="I5" s="11">
        <v>79.933884297520592</v>
      </c>
      <c r="J5" s="12">
        <v>0</v>
      </c>
      <c r="K5" s="11">
        <v>9306.3805083661318</v>
      </c>
      <c r="L5" s="11">
        <v>5.0000000000000027</v>
      </c>
      <c r="M5" s="11">
        <v>6.1487603305785079</v>
      </c>
      <c r="N5" s="10">
        <v>7467.9719457020919</v>
      </c>
      <c r="O5" s="11">
        <v>27.148760330508445</v>
      </c>
      <c r="P5" s="11">
        <v>26.000000000000007</v>
      </c>
      <c r="Q5" s="11">
        <v>45.594358641990816</v>
      </c>
      <c r="R5" s="12">
        <v>0</v>
      </c>
      <c r="S5" s="11">
        <v>6753.0399999999927</v>
      </c>
      <c r="T5" s="75">
        <v>837.88537470140091</v>
      </c>
      <c r="U5" s="75">
        <v>0</v>
      </c>
      <c r="V5" s="10">
        <v>7640.9768201771576</v>
      </c>
      <c r="W5" s="11">
        <v>9.0000000000000213</v>
      </c>
      <c r="X5" s="12">
        <v>1.844628030000981</v>
      </c>
      <c r="Y5" s="11">
        <v>6042.8146135826701</v>
      </c>
      <c r="Z5" s="11">
        <v>17.812628030010323</v>
      </c>
      <c r="AA5" s="11">
        <v>25.000000000000011</v>
      </c>
      <c r="AB5" s="41">
        <v>21.520661157024776</v>
      </c>
      <c r="AC5" s="11">
        <v>0</v>
      </c>
      <c r="AD5" s="10">
        <v>3593.9708791666626</v>
      </c>
      <c r="AE5" s="11">
        <v>11183.808874582262</v>
      </c>
      <c r="AF5" s="11">
        <v>410.15810899078991</v>
      </c>
      <c r="AG5" s="11">
        <v>350.00000000000034</v>
      </c>
      <c r="AH5" s="11">
        <v>31.209725139156649</v>
      </c>
      <c r="AI5" s="11">
        <v>640.00000000013961</v>
      </c>
      <c r="AJ5" s="12">
        <v>0</v>
      </c>
      <c r="AK5" s="11">
        <v>1082.2544469389752</v>
      </c>
      <c r="AL5" s="38">
        <v>745246.51009205671</v>
      </c>
      <c r="AM5" s="11">
        <v>294.26472386199998</v>
      </c>
      <c r="AN5" s="10">
        <v>635.99722949146917</v>
      </c>
      <c r="AO5" s="41">
        <v>707289.32439836243</v>
      </c>
      <c r="AP5" s="12">
        <v>84.932127451100001</v>
      </c>
      <c r="AQ5" s="11">
        <v>447.49999999999949</v>
      </c>
      <c r="AR5" s="41">
        <v>460537.00002436142</v>
      </c>
      <c r="AS5" s="41">
        <v>30350.523833499999</v>
      </c>
      <c r="AT5" s="13">
        <v>20817.626412502577</v>
      </c>
      <c r="AU5" s="11">
        <v>98761.999999945183</v>
      </c>
      <c r="AV5" s="13">
        <v>153999.99999999287</v>
      </c>
    </row>
    <row r="6" spans="1:48" x14ac:dyDescent="0.25">
      <c r="A6" s="32">
        <f t="shared" ref="A6:A35" si="0">EOMONTH(A5,1)</f>
        <v>44165</v>
      </c>
      <c r="B6" s="10">
        <v>6489.0099574146907</v>
      </c>
      <c r="C6" s="11">
        <v>40.000000000000007</v>
      </c>
      <c r="D6" s="11">
        <v>61.30176333314067</v>
      </c>
      <c r="E6" s="11">
        <v>0</v>
      </c>
      <c r="F6" s="10">
        <v>6025.4380173228283</v>
      </c>
      <c r="G6" s="11">
        <v>71.30176333314067</v>
      </c>
      <c r="H6" s="11">
        <v>50.000000000000021</v>
      </c>
      <c r="I6" s="11">
        <v>107.56782909018186</v>
      </c>
      <c r="J6" s="12">
        <v>0</v>
      </c>
      <c r="K6" s="11">
        <v>9306.0724786745304</v>
      </c>
      <c r="L6" s="11">
        <v>4.0000000000000009</v>
      </c>
      <c r="M6" s="11">
        <v>4.4628099173553686</v>
      </c>
      <c r="N6" s="10">
        <v>7469.2778683726947</v>
      </c>
      <c r="O6" s="11">
        <v>24.462809917355354</v>
      </c>
      <c r="P6" s="11">
        <v>24.000000000000011</v>
      </c>
      <c r="Q6" s="11">
        <v>15.552250639615066</v>
      </c>
      <c r="R6" s="12">
        <v>0</v>
      </c>
      <c r="S6" s="11">
        <v>6753.0390355314894</v>
      </c>
      <c r="T6" s="75">
        <v>361.66666666525418</v>
      </c>
      <c r="U6" s="75">
        <v>0</v>
      </c>
      <c r="V6" s="10">
        <v>7642.863757480307</v>
      </c>
      <c r="W6" s="11">
        <v>5.9999999999999742</v>
      </c>
      <c r="X6" s="12">
        <v>1.7851239000009493</v>
      </c>
      <c r="Y6" s="11">
        <v>6042.7328788057675</v>
      </c>
      <c r="Z6" s="11">
        <v>20.762123900006983</v>
      </c>
      <c r="AA6" s="11">
        <v>24.999999999999982</v>
      </c>
      <c r="AB6" s="41">
        <v>20.826446280991718</v>
      </c>
      <c r="AC6" s="11">
        <v>0</v>
      </c>
      <c r="AD6" s="10">
        <v>3591.3007893044582</v>
      </c>
      <c r="AE6" s="11">
        <v>10938.672740675993</v>
      </c>
      <c r="AF6" s="11">
        <v>404.98893652800177</v>
      </c>
      <c r="AG6" s="11">
        <v>360.00000000000023</v>
      </c>
      <c r="AH6" s="11">
        <v>29.735955124581981</v>
      </c>
      <c r="AI6" s="11">
        <v>639.99999999915894</v>
      </c>
      <c r="AJ6" s="12">
        <v>0</v>
      </c>
      <c r="AK6" s="11">
        <v>1081.8636337040671</v>
      </c>
      <c r="AL6" s="38">
        <v>687582.62385691062</v>
      </c>
      <c r="AM6" s="11">
        <v>266.5217164</v>
      </c>
      <c r="AN6" s="10">
        <v>638.00068114829332</v>
      </c>
      <c r="AO6" s="41">
        <v>606011.67532925727</v>
      </c>
      <c r="AP6" s="12">
        <v>73.747491201900004</v>
      </c>
      <c r="AQ6" s="11">
        <v>447.49999999999949</v>
      </c>
      <c r="AR6" s="41">
        <v>359918.00000033999</v>
      </c>
      <c r="AS6" s="41">
        <v>23408.501731600001</v>
      </c>
      <c r="AT6" s="13">
        <v>12848.626412496926</v>
      </c>
      <c r="AU6" s="11">
        <v>95349.513555032056</v>
      </c>
      <c r="AV6" s="13">
        <v>153054.42449334703</v>
      </c>
    </row>
    <row r="7" spans="1:48" x14ac:dyDescent="0.25">
      <c r="A7" s="32">
        <f t="shared" si="0"/>
        <v>44196</v>
      </c>
      <c r="B7" s="10">
        <v>6483.9250706036673</v>
      </c>
      <c r="C7" s="11">
        <v>31.999999999999986</v>
      </c>
      <c r="D7" s="11">
        <v>63.345155444245357</v>
      </c>
      <c r="E7" s="11">
        <v>0</v>
      </c>
      <c r="F7" s="10">
        <v>6024.3292495406758</v>
      </c>
      <c r="G7" s="11">
        <v>66.345155444266368</v>
      </c>
      <c r="H7" s="11">
        <v>35.000000000000028</v>
      </c>
      <c r="I7" s="11">
        <v>107.1948967860925</v>
      </c>
      <c r="J7" s="12">
        <v>0</v>
      </c>
      <c r="K7" s="11">
        <v>9305.3266471456591</v>
      </c>
      <c r="L7" s="11">
        <v>3.5000000000000027</v>
      </c>
      <c r="M7" s="11">
        <v>4.6115702479338809</v>
      </c>
      <c r="N7" s="10">
        <v>7470.2296041666586</v>
      </c>
      <c r="O7" s="11">
        <v>22.111570247947874</v>
      </c>
      <c r="P7" s="11">
        <v>21.000000000000032</v>
      </c>
      <c r="Q7" s="11">
        <v>15.546454243514006</v>
      </c>
      <c r="R7" s="12">
        <v>0</v>
      </c>
      <c r="S7" s="11">
        <v>6753.0399999999927</v>
      </c>
      <c r="T7" s="75">
        <v>349.99535546376711</v>
      </c>
      <c r="U7" s="75">
        <v>0</v>
      </c>
      <c r="V7" s="10">
        <v>7644.2453072178396</v>
      </c>
      <c r="W7" s="11">
        <v>5.0000000000000027</v>
      </c>
      <c r="X7" s="12">
        <v>1.844628030000981</v>
      </c>
      <c r="Y7" s="11">
        <v>6042.1680605642978</v>
      </c>
      <c r="Z7" s="11">
        <v>15.84462803000349</v>
      </c>
      <c r="AA7" s="11">
        <v>18.999999999999979</v>
      </c>
      <c r="AB7" s="41">
        <v>21.520661157024776</v>
      </c>
      <c r="AC7" s="11">
        <v>0</v>
      </c>
      <c r="AD7" s="10">
        <v>3587.5653889763739</v>
      </c>
      <c r="AE7" s="11">
        <v>10601.547859594006</v>
      </c>
      <c r="AF7" s="11">
        <v>379.23593351821648</v>
      </c>
      <c r="AG7" s="11">
        <v>309.99999999999994</v>
      </c>
      <c r="AH7" s="11">
        <v>23.330796942432727</v>
      </c>
      <c r="AI7" s="11">
        <v>720.00000000069974</v>
      </c>
      <c r="AJ7" s="12">
        <v>0</v>
      </c>
      <c r="AK7" s="11">
        <v>1085.1581518700775</v>
      </c>
      <c r="AL7" s="38">
        <v>444467.13677686109</v>
      </c>
      <c r="AM7" s="11">
        <v>170.30276203899999</v>
      </c>
      <c r="AN7" s="10">
        <v>639.50562092519613</v>
      </c>
      <c r="AO7" s="41">
        <v>383160.90108033927</v>
      </c>
      <c r="AP7" s="12">
        <v>47.831211031600006</v>
      </c>
      <c r="AQ7" s="11">
        <v>446.49999999999949</v>
      </c>
      <c r="AR7" s="41">
        <v>225856.99999955311</v>
      </c>
      <c r="AS7" s="41">
        <v>13938.7244682</v>
      </c>
      <c r="AT7" s="13">
        <v>7441.6264125009639</v>
      </c>
      <c r="AU7" s="11">
        <v>98520.513555031153</v>
      </c>
      <c r="AV7" s="13">
        <v>88843.424493219936</v>
      </c>
    </row>
    <row r="8" spans="1:48" x14ac:dyDescent="0.25">
      <c r="A8" s="32">
        <f t="shared" si="0"/>
        <v>44227</v>
      </c>
      <c r="B8" s="10">
        <v>6477.7962345144288</v>
      </c>
      <c r="C8" s="11">
        <v>29.999999999999996</v>
      </c>
      <c r="D8" s="11">
        <v>63.345155444245357</v>
      </c>
      <c r="E8" s="11">
        <v>0</v>
      </c>
      <c r="F8" s="10">
        <v>6024.3663579724343</v>
      </c>
      <c r="G8" s="11">
        <v>73.345155444315395</v>
      </c>
      <c r="H8" s="11">
        <v>40.000000000000014</v>
      </c>
      <c r="I8" s="11">
        <v>70.239633704028151</v>
      </c>
      <c r="J8" s="12">
        <v>0</v>
      </c>
      <c r="K8" s="11">
        <v>9304.5720601049761</v>
      </c>
      <c r="L8" s="11">
        <v>3.5000000000000027</v>
      </c>
      <c r="M8" s="11">
        <v>4.6115702479338809</v>
      </c>
      <c r="N8" s="10">
        <v>7468.9465297900188</v>
      </c>
      <c r="O8" s="11">
        <v>20.111570247933869</v>
      </c>
      <c r="P8" s="11">
        <v>18.999999999999979</v>
      </c>
      <c r="Q8" s="11">
        <v>28.587008890054058</v>
      </c>
      <c r="R8" s="12">
        <v>0</v>
      </c>
      <c r="S8" s="11">
        <v>6753.0399999999927</v>
      </c>
      <c r="T8" s="75">
        <v>545.83332567358229</v>
      </c>
      <c r="U8" s="75">
        <v>0</v>
      </c>
      <c r="V8" s="10">
        <v>7645.164768339886</v>
      </c>
      <c r="W8" s="11">
        <v>4.0000000000000018</v>
      </c>
      <c r="X8" s="12">
        <v>1.844628030000981</v>
      </c>
      <c r="Y8" s="11">
        <v>6041.5097625656108</v>
      </c>
      <c r="Z8" s="11">
        <v>14.844628029996487</v>
      </c>
      <c r="AA8" s="11">
        <v>16.999999999999989</v>
      </c>
      <c r="AB8" s="41">
        <v>21.520661157024776</v>
      </c>
      <c r="AC8" s="11">
        <v>0</v>
      </c>
      <c r="AD8" s="10">
        <v>3582.0669122047207</v>
      </c>
      <c r="AE8" s="11">
        <v>10117.63983311931</v>
      </c>
      <c r="AF8" s="11">
        <v>344.32227786202998</v>
      </c>
      <c r="AG8" s="11">
        <v>299.99999999999994</v>
      </c>
      <c r="AH8" s="11">
        <v>6.9429473793610406</v>
      </c>
      <c r="AI8" s="11">
        <v>859.99999999950899</v>
      </c>
      <c r="AJ8" s="12">
        <v>0</v>
      </c>
      <c r="AK8" s="11">
        <v>1089.5001427132534</v>
      </c>
      <c r="AL8" s="38">
        <v>518562.77750571398</v>
      </c>
      <c r="AM8" s="11">
        <v>203.95775327300001</v>
      </c>
      <c r="AN8" s="10">
        <v>641.79754691929065</v>
      </c>
      <c r="AO8" s="41">
        <v>426005.89484452119</v>
      </c>
      <c r="AP8" s="12">
        <v>53.784897262200005</v>
      </c>
      <c r="AQ8" s="11">
        <v>446.49999999999949</v>
      </c>
      <c r="AR8" s="41">
        <v>255294.56997128887</v>
      </c>
      <c r="AS8" s="41">
        <v>15983.9913263</v>
      </c>
      <c r="AT8" s="13">
        <v>10570.22310564763</v>
      </c>
      <c r="AU8" s="11">
        <v>93847.666666653924</v>
      </c>
      <c r="AV8" s="13">
        <v>86021.965661819384</v>
      </c>
    </row>
    <row r="9" spans="1:48" x14ac:dyDescent="0.25">
      <c r="A9" s="32">
        <f t="shared" si="0"/>
        <v>44255</v>
      </c>
      <c r="B9" s="10">
        <v>6471.527305314954</v>
      </c>
      <c r="C9" s="11">
        <v>27.999999999999989</v>
      </c>
      <c r="D9" s="11">
        <v>57.214979110931296</v>
      </c>
      <c r="E9" s="11">
        <v>0</v>
      </c>
      <c r="F9" s="10">
        <v>6024.3522871391015</v>
      </c>
      <c r="G9" s="11">
        <v>71.214979110931282</v>
      </c>
      <c r="H9" s="11">
        <v>42.000000000000014</v>
      </c>
      <c r="I9" s="11">
        <v>69.658345119562327</v>
      </c>
      <c r="J9" s="12">
        <v>0</v>
      </c>
      <c r="K9" s="11">
        <v>9303.7712602362099</v>
      </c>
      <c r="L9" s="11">
        <v>3</v>
      </c>
      <c r="M9" s="11">
        <v>4.1652892561983439</v>
      </c>
      <c r="N9" s="10">
        <v>7467.9912626312262</v>
      </c>
      <c r="O9" s="11">
        <v>17.165289256206741</v>
      </c>
      <c r="P9" s="11">
        <v>15.999999999999977</v>
      </c>
      <c r="Q9" s="11">
        <v>23.341567949312317</v>
      </c>
      <c r="R9" s="12">
        <v>0</v>
      </c>
      <c r="S9" s="11">
        <v>6753.0372994422505</v>
      </c>
      <c r="T9" s="75">
        <v>527.82738839368585</v>
      </c>
      <c r="U9" s="75">
        <v>0</v>
      </c>
      <c r="V9" s="10">
        <v>7646.1426190288639</v>
      </c>
      <c r="W9" s="11">
        <v>4</v>
      </c>
      <c r="X9" s="12">
        <v>1.6661156400008861</v>
      </c>
      <c r="Y9" s="11">
        <v>6041.3621775918573</v>
      </c>
      <c r="Z9" s="11">
        <v>18.658115640008045</v>
      </c>
      <c r="AA9" s="11">
        <v>20.999999999999979</v>
      </c>
      <c r="AB9" s="41">
        <v>19.438016528925605</v>
      </c>
      <c r="AC9" s="11">
        <v>0</v>
      </c>
      <c r="AD9" s="10">
        <v>3577.5918609580017</v>
      </c>
      <c r="AE9" s="11">
        <v>9734.641389591925</v>
      </c>
      <c r="AF9" s="11">
        <v>343.56241164952604</v>
      </c>
      <c r="AG9" s="11">
        <v>310.00000000000034</v>
      </c>
      <c r="AH9" s="11">
        <v>7.2007313878164938</v>
      </c>
      <c r="AI9" s="11">
        <v>750.00000000055979</v>
      </c>
      <c r="AJ9" s="12">
        <v>0</v>
      </c>
      <c r="AK9" s="11">
        <v>1092.6715991272954</v>
      </c>
      <c r="AL9" s="38">
        <v>519289.44294114615</v>
      </c>
      <c r="AM9" s="11">
        <v>203.834409419</v>
      </c>
      <c r="AN9" s="10">
        <v>641.79754691929065</v>
      </c>
      <c r="AO9" s="41">
        <v>499223.52889709279</v>
      </c>
      <c r="AP9" s="12">
        <v>63.134389164699996</v>
      </c>
      <c r="AQ9" s="11">
        <v>446.49999999999949</v>
      </c>
      <c r="AR9" s="41">
        <v>393137.47991883382</v>
      </c>
      <c r="AS9" s="41">
        <v>25528.2744475</v>
      </c>
      <c r="AT9" s="13">
        <v>10650.47975486587</v>
      </c>
      <c r="AU9" s="11">
        <v>20736.666666626301</v>
      </c>
      <c r="AV9" s="13">
        <v>80846.047180106121</v>
      </c>
    </row>
    <row r="10" spans="1:48" x14ac:dyDescent="0.25">
      <c r="A10" s="32">
        <f t="shared" si="0"/>
        <v>44286</v>
      </c>
      <c r="B10" s="10">
        <v>6467.0261952099672</v>
      </c>
      <c r="C10" s="11">
        <v>44.999999999999993</v>
      </c>
      <c r="D10" s="11">
        <v>63.345155444245357</v>
      </c>
      <c r="E10" s="11">
        <v>0</v>
      </c>
      <c r="F10" s="10">
        <v>6025.3099115813584</v>
      </c>
      <c r="G10" s="11">
        <v>108.34515544434339</v>
      </c>
      <c r="H10" s="11">
        <v>90.000000000000227</v>
      </c>
      <c r="I10" s="11">
        <v>68.621870451394301</v>
      </c>
      <c r="J10" s="12">
        <v>0</v>
      </c>
      <c r="K10" s="11">
        <v>9302.6466159448719</v>
      </c>
      <c r="L10" s="11">
        <v>2.9999999999999991</v>
      </c>
      <c r="M10" s="11">
        <v>4.6115702479338809</v>
      </c>
      <c r="N10" s="10">
        <v>7469.7348219488113</v>
      </c>
      <c r="O10" s="11">
        <v>29.611570247891837</v>
      </c>
      <c r="P10" s="11">
        <v>28.000000000000004</v>
      </c>
      <c r="Q10" s="11">
        <v>17.583741562394824</v>
      </c>
      <c r="R10" s="12">
        <v>17.583741562394824</v>
      </c>
      <c r="S10" s="11">
        <v>6753.0399999999927</v>
      </c>
      <c r="T10" s="75">
        <v>431.30419942489061</v>
      </c>
      <c r="U10" s="75">
        <v>0</v>
      </c>
      <c r="V10" s="10">
        <v>7647.4183419291267</v>
      </c>
      <c r="W10" s="11">
        <v>5.0000000000000027</v>
      </c>
      <c r="X10" s="12">
        <v>1.844628030000981</v>
      </c>
      <c r="Y10" s="11">
        <v>6043.2775421915949</v>
      </c>
      <c r="Z10" s="11">
        <v>49.665628029940926</v>
      </c>
      <c r="AA10" s="11">
        <v>56.000000000000007</v>
      </c>
      <c r="AB10" s="41">
        <v>21.520661157024776</v>
      </c>
      <c r="AC10" s="11">
        <v>0</v>
      </c>
      <c r="AD10" s="10">
        <v>3573.383538976374</v>
      </c>
      <c r="AE10" s="11">
        <v>9383.3236970982944</v>
      </c>
      <c r="AF10" s="11">
        <v>432.48139312690745</v>
      </c>
      <c r="AG10" s="11">
        <v>490.00000000000034</v>
      </c>
      <c r="AH10" s="11">
        <v>11.904501623871125</v>
      </c>
      <c r="AI10" s="11">
        <v>799.99999999908869</v>
      </c>
      <c r="AJ10" s="12">
        <v>0</v>
      </c>
      <c r="AK10" s="11">
        <v>1091.3334891502614</v>
      </c>
      <c r="AL10" s="38">
        <v>968077.44428700523</v>
      </c>
      <c r="AM10" s="11">
        <v>393.668047532</v>
      </c>
      <c r="AN10" s="10">
        <v>643.05459791010435</v>
      </c>
      <c r="AO10" s="41">
        <v>909154.87006484857</v>
      </c>
      <c r="AP10" s="12">
        <v>113.64928830000001</v>
      </c>
      <c r="AQ10" s="11">
        <v>446.69999999999948</v>
      </c>
      <c r="AR10" s="41">
        <v>638373.26349159668</v>
      </c>
      <c r="AS10" s="41">
        <v>41335.469140499998</v>
      </c>
      <c r="AT10" s="13">
        <v>14856.772980822756</v>
      </c>
      <c r="AU10" s="11">
        <v>89676.666666717865</v>
      </c>
      <c r="AV10" s="13">
        <v>164693.12216033417</v>
      </c>
    </row>
    <row r="11" spans="1:48" x14ac:dyDescent="0.25">
      <c r="A11" s="32">
        <f t="shared" si="0"/>
        <v>44316</v>
      </c>
      <c r="B11" s="10">
        <v>6464.9999999999927</v>
      </c>
      <c r="C11" s="11">
        <v>70</v>
      </c>
      <c r="D11" s="11">
        <v>77.283761671029694</v>
      </c>
      <c r="E11" s="11">
        <v>0</v>
      </c>
      <c r="F11" s="10">
        <v>6026.756029068235</v>
      </c>
      <c r="G11" s="11">
        <v>127.28376167102965</v>
      </c>
      <c r="H11" s="11">
        <v>120.00000000000006</v>
      </c>
      <c r="I11" s="11">
        <v>66.408261727155747</v>
      </c>
      <c r="J11" s="12">
        <v>0</v>
      </c>
      <c r="K11" s="11">
        <v>9303.0237664369979</v>
      </c>
      <c r="L11" s="11">
        <v>5.0000000000000018</v>
      </c>
      <c r="M11" s="11">
        <v>4.4628099173553686</v>
      </c>
      <c r="N11" s="10">
        <v>7471.680143011803</v>
      </c>
      <c r="O11" s="11">
        <v>57.462809917397351</v>
      </c>
      <c r="P11" s="11">
        <v>57.999999999999986</v>
      </c>
      <c r="Q11" s="11">
        <v>43.619641535542875</v>
      </c>
      <c r="R11" s="12">
        <v>43.619641535542875</v>
      </c>
      <c r="S11" s="11">
        <v>6753.0369792650845</v>
      </c>
      <c r="T11" s="75">
        <v>1067.5000000014129</v>
      </c>
      <c r="U11" s="75">
        <v>0</v>
      </c>
      <c r="V11" s="10">
        <v>7652.790706233588</v>
      </c>
      <c r="W11" s="11">
        <v>15.000000000000023</v>
      </c>
      <c r="X11" s="12">
        <v>1.7851239000009493</v>
      </c>
      <c r="Y11" s="11">
        <v>6046.871928576109</v>
      </c>
      <c r="Z11" s="11">
        <v>85.240123899940357</v>
      </c>
      <c r="AA11" s="11">
        <v>109.99999999999982</v>
      </c>
      <c r="AB11" s="41">
        <v>20.826446280991718</v>
      </c>
      <c r="AC11" s="11">
        <v>0</v>
      </c>
      <c r="AD11" s="10">
        <v>3572.227219356952</v>
      </c>
      <c r="AE11" s="11">
        <v>9288.2944460530907</v>
      </c>
      <c r="AF11" s="11">
        <v>625.96236916487362</v>
      </c>
      <c r="AG11" s="11">
        <v>750.00000000000114</v>
      </c>
      <c r="AH11" s="11">
        <v>18.59395799811799</v>
      </c>
      <c r="AI11" s="11">
        <v>710.00000000083992</v>
      </c>
      <c r="AJ11" s="12">
        <v>0</v>
      </c>
      <c r="AK11" s="11">
        <v>1087.916185101705</v>
      </c>
      <c r="AL11" s="38">
        <v>1032455.5454502187</v>
      </c>
      <c r="AM11" s="11">
        <v>417.54167287500002</v>
      </c>
      <c r="AN11" s="10">
        <v>642.99981670275531</v>
      </c>
      <c r="AO11" s="41">
        <v>1004759.7268419486</v>
      </c>
      <c r="AP11" s="12">
        <v>125.50071844700001</v>
      </c>
      <c r="AQ11" s="11">
        <v>448.69999999999948</v>
      </c>
      <c r="AR11" s="41">
        <v>708253.93267115299</v>
      </c>
      <c r="AS11" s="41">
        <v>46616.479673399997</v>
      </c>
      <c r="AT11" s="13">
        <v>21043.293425406762</v>
      </c>
      <c r="AU11" s="11">
        <v>86729.666666605059</v>
      </c>
      <c r="AV11" s="13">
        <v>158482.19525861123</v>
      </c>
    </row>
    <row r="12" spans="1:48" x14ac:dyDescent="0.25">
      <c r="A12" s="32">
        <f t="shared" si="0"/>
        <v>44347</v>
      </c>
      <c r="B12" s="10">
        <v>6475.3258583333272</v>
      </c>
      <c r="C12" s="11">
        <v>124.99999999999976</v>
      </c>
      <c r="D12" s="11">
        <v>79.85988706006404</v>
      </c>
      <c r="E12" s="11">
        <v>0</v>
      </c>
      <c r="F12" s="10">
        <v>6027.7203688648233</v>
      </c>
      <c r="G12" s="11">
        <v>134.85988706001496</v>
      </c>
      <c r="H12" s="11">
        <v>179.99999999999983</v>
      </c>
      <c r="I12" s="11">
        <v>89.352945105223043</v>
      </c>
      <c r="J12" s="12">
        <v>0</v>
      </c>
      <c r="K12" s="11">
        <v>9313.5489552821418</v>
      </c>
      <c r="L12" s="11">
        <v>24.000000000000014</v>
      </c>
      <c r="M12" s="11">
        <v>7.685950413223134</v>
      </c>
      <c r="N12" s="10">
        <v>7477.9193263451361</v>
      </c>
      <c r="O12" s="11">
        <v>163.68595041323002</v>
      </c>
      <c r="P12" s="11">
        <v>179.99999999999983</v>
      </c>
      <c r="Q12" s="11">
        <v>119.02289443106557</v>
      </c>
      <c r="R12" s="12">
        <v>112.96402157499959</v>
      </c>
      <c r="S12" s="11">
        <v>6753.0399999999927</v>
      </c>
      <c r="T12" s="75">
        <v>2665.169466600189</v>
      </c>
      <c r="U12" s="75">
        <v>29.67648823815135</v>
      </c>
      <c r="V12" s="10">
        <v>7662.986497900255</v>
      </c>
      <c r="W12" s="11">
        <v>53.000000000000014</v>
      </c>
      <c r="X12" s="12">
        <v>26.29870536161841</v>
      </c>
      <c r="Y12" s="11">
        <v>6055.9688222768973</v>
      </c>
      <c r="Z12" s="11">
        <v>169.47370536157345</v>
      </c>
      <c r="AA12" s="11">
        <v>224.99999999999994</v>
      </c>
      <c r="AB12" s="41">
        <v>21.520661157024776</v>
      </c>
      <c r="AC12" s="11">
        <v>0</v>
      </c>
      <c r="AD12" s="10">
        <v>3579.7223975721749</v>
      </c>
      <c r="AE12" s="11">
        <v>9915.7727132960663</v>
      </c>
      <c r="AF12" s="11">
        <v>1410.1084891668122</v>
      </c>
      <c r="AG12" s="11">
        <v>1699.9999999999986</v>
      </c>
      <c r="AH12" s="11">
        <v>22.431959341220551</v>
      </c>
      <c r="AI12" s="11">
        <v>710.00000000062983</v>
      </c>
      <c r="AJ12" s="12">
        <v>0</v>
      </c>
      <c r="AK12" s="11">
        <v>1084.527466922571</v>
      </c>
      <c r="AL12" s="38">
        <v>993183.5253794064</v>
      </c>
      <c r="AM12" s="11">
        <v>386.306778721</v>
      </c>
      <c r="AN12" s="10">
        <v>642.99981670275531</v>
      </c>
      <c r="AO12" s="41">
        <v>961183.21223693225</v>
      </c>
      <c r="AP12" s="12">
        <v>120.39427809999999</v>
      </c>
      <c r="AQ12" s="11">
        <v>448.69999999999948</v>
      </c>
      <c r="AR12" s="41">
        <v>705827.50328417565</v>
      </c>
      <c r="AS12" s="41">
        <v>46929.991813699999</v>
      </c>
      <c r="AT12" s="13">
        <v>27429.188282873842</v>
      </c>
      <c r="AU12" s="11">
        <v>78435.666666717094</v>
      </c>
      <c r="AV12" s="13">
        <v>166764.01538289391</v>
      </c>
    </row>
    <row r="13" spans="1:48" x14ac:dyDescent="0.25">
      <c r="A13" s="32">
        <f t="shared" si="0"/>
        <v>44377</v>
      </c>
      <c r="B13" s="10">
        <v>6499.9999999999936</v>
      </c>
      <c r="C13" s="11">
        <v>265.00000000000017</v>
      </c>
      <c r="D13" s="11">
        <v>107.15766253614721</v>
      </c>
      <c r="E13" s="11">
        <v>6.0263774559965668</v>
      </c>
      <c r="F13" s="10">
        <v>6026.1905402230914</v>
      </c>
      <c r="G13" s="11">
        <v>152.15766253614717</v>
      </c>
      <c r="H13" s="11">
        <v>310.00000000000011</v>
      </c>
      <c r="I13" s="11">
        <v>201.65362489356281</v>
      </c>
      <c r="J13" s="12">
        <v>0</v>
      </c>
      <c r="K13" s="11">
        <v>9326.2839805118019</v>
      </c>
      <c r="L13" s="11">
        <v>38.000000000000014</v>
      </c>
      <c r="M13" s="11">
        <v>14.876033057851227</v>
      </c>
      <c r="N13" s="10">
        <v>7503.9083099737445</v>
      </c>
      <c r="O13" s="11">
        <v>236.8760330571786</v>
      </c>
      <c r="P13" s="11">
        <v>260.00000000000011</v>
      </c>
      <c r="Q13" s="11">
        <v>32.696509276644967</v>
      </c>
      <c r="R13" s="12">
        <v>0</v>
      </c>
      <c r="S13" s="11">
        <v>6753.0346360564236</v>
      </c>
      <c r="T13" s="75">
        <v>1386.8055555555559</v>
      </c>
      <c r="U13" s="75">
        <v>0</v>
      </c>
      <c r="V13" s="10">
        <v>7664.823876115478</v>
      </c>
      <c r="W13" s="11">
        <v>59.999999999999737</v>
      </c>
      <c r="X13" s="12">
        <v>54.449161986407702</v>
      </c>
      <c r="Y13" s="11">
        <v>6061.8370824146914</v>
      </c>
      <c r="Z13" s="11">
        <v>152.28116198640356</v>
      </c>
      <c r="AA13" s="11">
        <v>179.99999999999983</v>
      </c>
      <c r="AB13" s="41">
        <v>20.826446280991718</v>
      </c>
      <c r="AC13" s="11">
        <v>0</v>
      </c>
      <c r="AD13" s="10">
        <v>3592.1925337270304</v>
      </c>
      <c r="AE13" s="11">
        <v>11020.156819030839</v>
      </c>
      <c r="AF13" s="11">
        <v>1980.5207323314703</v>
      </c>
      <c r="AG13" s="11">
        <v>2400.0000000000014</v>
      </c>
      <c r="AH13" s="11">
        <v>37.785895810001648</v>
      </c>
      <c r="AI13" s="11">
        <v>749.99999999999943</v>
      </c>
      <c r="AJ13" s="12">
        <v>0</v>
      </c>
      <c r="AK13" s="11">
        <v>1081.7273147309702</v>
      </c>
      <c r="AL13" s="38">
        <v>947601.25495317893</v>
      </c>
      <c r="AM13" s="11">
        <v>368.29336629600004</v>
      </c>
      <c r="AN13" s="10">
        <v>642.99981670275531</v>
      </c>
      <c r="AO13" s="41">
        <v>907391.33991465834</v>
      </c>
      <c r="AP13" s="12">
        <v>113.766768914</v>
      </c>
      <c r="AQ13" s="11">
        <v>448.69999999999948</v>
      </c>
      <c r="AR13" s="41">
        <v>718278.92435380165</v>
      </c>
      <c r="AS13" s="41">
        <v>47828.673018200003</v>
      </c>
      <c r="AT13" s="13">
        <v>27521.272227658366</v>
      </c>
      <c r="AU13" s="11">
        <v>75852.66666664106</v>
      </c>
      <c r="AV13" s="13">
        <v>95337.9178227589</v>
      </c>
    </row>
    <row r="14" spans="1:48" x14ac:dyDescent="0.25">
      <c r="A14" s="32">
        <f t="shared" si="0"/>
        <v>44408</v>
      </c>
      <c r="B14" s="10">
        <v>6505.4999999999936</v>
      </c>
      <c r="C14" s="11">
        <v>165.0000000000002</v>
      </c>
      <c r="D14" s="11">
        <v>119.57871750010371</v>
      </c>
      <c r="E14" s="11">
        <v>18.803239901145439</v>
      </c>
      <c r="F14" s="10">
        <v>6026.9025814960569</v>
      </c>
      <c r="G14" s="11">
        <v>149.57871750009667</v>
      </c>
      <c r="H14" s="11">
        <v>195.00000000000009</v>
      </c>
      <c r="I14" s="11">
        <v>108.55773971849682</v>
      </c>
      <c r="J14" s="12">
        <v>0</v>
      </c>
      <c r="K14" s="11">
        <v>9326.093477198152</v>
      </c>
      <c r="L14" s="11">
        <v>14.999999999999998</v>
      </c>
      <c r="M14" s="11">
        <v>15.371900826446268</v>
      </c>
      <c r="N14" s="10">
        <v>7502.6504902887064</v>
      </c>
      <c r="O14" s="11">
        <v>90.371900826537271</v>
      </c>
      <c r="P14" s="11">
        <v>90.000000000000227</v>
      </c>
      <c r="Q14" s="11">
        <v>99.427173422262172</v>
      </c>
      <c r="R14" s="12">
        <v>0</v>
      </c>
      <c r="S14" s="11">
        <v>6753.0399999999927</v>
      </c>
      <c r="T14" s="75">
        <v>1857.7698689077256</v>
      </c>
      <c r="U14" s="75">
        <v>0</v>
      </c>
      <c r="V14" s="10">
        <v>7659.9578752296502</v>
      </c>
      <c r="W14" s="11">
        <v>27.000000000000004</v>
      </c>
      <c r="X14" s="12">
        <v>39.358243466741776</v>
      </c>
      <c r="Y14" s="11">
        <v>6059.334479625978</v>
      </c>
      <c r="Z14" s="11">
        <v>51.190243466744739</v>
      </c>
      <c r="AA14" s="11">
        <v>40.000000000000014</v>
      </c>
      <c r="AB14" s="41">
        <v>21.520661157024776</v>
      </c>
      <c r="AC14" s="11">
        <v>0</v>
      </c>
      <c r="AD14" s="10">
        <v>3591.0302668635131</v>
      </c>
      <c r="AE14" s="11">
        <v>10914.030414234905</v>
      </c>
      <c r="AF14" s="11">
        <v>782.68221760886797</v>
      </c>
      <c r="AG14" s="11">
        <v>820.00000000000261</v>
      </c>
      <c r="AH14" s="11">
        <v>47.298732000626096</v>
      </c>
      <c r="AI14" s="11">
        <v>850.00000000378179</v>
      </c>
      <c r="AJ14" s="12">
        <v>0</v>
      </c>
      <c r="AK14" s="11">
        <v>1081.7362969750645</v>
      </c>
      <c r="AL14" s="38">
        <v>827437.65215623297</v>
      </c>
      <c r="AM14" s="11">
        <v>321.29195871799999</v>
      </c>
      <c r="AN14" s="10">
        <v>641.99704448162663</v>
      </c>
      <c r="AO14" s="41">
        <v>817563.65802257066</v>
      </c>
      <c r="AP14" s="12">
        <v>102.64786534999999</v>
      </c>
      <c r="AQ14" s="11">
        <v>447.99999999999949</v>
      </c>
      <c r="AR14" s="41">
        <v>693138.8375901801</v>
      </c>
      <c r="AS14" s="41">
        <v>45883.071379000001</v>
      </c>
      <c r="AT14" s="13">
        <v>28006.191350299472</v>
      </c>
      <c r="AU14" s="11">
        <v>78429.666666628895</v>
      </c>
      <c r="AV14" s="13">
        <v>47720.519449456966</v>
      </c>
    </row>
    <row r="15" spans="1:48" x14ac:dyDescent="0.25">
      <c r="A15" s="32">
        <f t="shared" si="0"/>
        <v>44439</v>
      </c>
      <c r="B15" s="10">
        <v>6500.8088673556358</v>
      </c>
      <c r="C15" s="11">
        <v>59.999999999999993</v>
      </c>
      <c r="D15" s="11">
        <v>94.325453390282846</v>
      </c>
      <c r="E15" s="11">
        <v>0</v>
      </c>
      <c r="F15" s="10">
        <v>6026.5168417322775</v>
      </c>
      <c r="G15" s="11">
        <v>104.32545339013572</v>
      </c>
      <c r="H15" s="11">
        <v>70.000000000000327</v>
      </c>
      <c r="I15" s="11">
        <v>106.9621605741732</v>
      </c>
      <c r="J15" s="12">
        <v>0</v>
      </c>
      <c r="K15" s="11">
        <v>9319.9999999999891</v>
      </c>
      <c r="L15" s="11">
        <v>8.0000000000000266</v>
      </c>
      <c r="M15" s="11">
        <v>19.489815090924591</v>
      </c>
      <c r="N15" s="10">
        <v>7498.4388522965801</v>
      </c>
      <c r="O15" s="11">
        <v>61.48981509093646</v>
      </c>
      <c r="P15" s="11">
        <v>49.999999999999964</v>
      </c>
      <c r="Q15" s="11">
        <v>95.112745160304343</v>
      </c>
      <c r="R15" s="12">
        <v>0</v>
      </c>
      <c r="S15" s="11">
        <v>6753.0399999999927</v>
      </c>
      <c r="T15" s="75">
        <v>1707.1236559143208</v>
      </c>
      <c r="U15" s="75">
        <v>0</v>
      </c>
      <c r="V15" s="10">
        <v>7651.9573576115399</v>
      </c>
      <c r="W15" s="11">
        <v>16.999999999999989</v>
      </c>
      <c r="X15" s="12">
        <v>36.802772391100056</v>
      </c>
      <c r="Y15" s="11">
        <v>6057.7187819553747</v>
      </c>
      <c r="Z15" s="11">
        <v>52.889772391188195</v>
      </c>
      <c r="AA15" s="11">
        <v>33.999999999999972</v>
      </c>
      <c r="AB15" s="41">
        <v>21.520661157024776</v>
      </c>
      <c r="AC15" s="11">
        <v>0</v>
      </c>
      <c r="AD15" s="10">
        <v>3586.4692714894977</v>
      </c>
      <c r="AE15" s="11">
        <v>10503.908505990341</v>
      </c>
      <c r="AF15" s="11">
        <v>503.47676388096431</v>
      </c>
      <c r="AG15" s="11">
        <v>384.99999999999989</v>
      </c>
      <c r="AH15" s="11">
        <v>46.408425655878077</v>
      </c>
      <c r="AI15" s="11">
        <v>899.99999999761769</v>
      </c>
      <c r="AJ15" s="12">
        <v>0</v>
      </c>
      <c r="AK15" s="11">
        <v>1082.9094495866129</v>
      </c>
      <c r="AL15" s="38">
        <v>786453.41303577682</v>
      </c>
      <c r="AM15" s="11">
        <v>304.28026095199999</v>
      </c>
      <c r="AN15" s="10">
        <v>641.99704448162663</v>
      </c>
      <c r="AO15" s="41">
        <v>751583.08883408108</v>
      </c>
      <c r="AP15" s="12">
        <v>94.294609788100004</v>
      </c>
      <c r="AQ15" s="11">
        <v>447.50000000328043</v>
      </c>
      <c r="AR15" s="41">
        <v>623899.01913615724</v>
      </c>
      <c r="AS15" s="41">
        <v>40891.381242800002</v>
      </c>
      <c r="AT15" s="13">
        <v>28476.748756777473</v>
      </c>
      <c r="AU15" s="11">
        <v>78429.666666628895</v>
      </c>
      <c r="AV15" s="13">
        <v>47720.519449456966</v>
      </c>
    </row>
    <row r="16" spans="1:48" x14ac:dyDescent="0.25">
      <c r="A16" s="32">
        <f t="shared" si="0"/>
        <v>44469</v>
      </c>
      <c r="B16" s="10">
        <v>6497.6564455708594</v>
      </c>
      <c r="C16" s="11">
        <v>45.000000000000014</v>
      </c>
      <c r="D16" s="11">
        <v>66.739797467584566</v>
      </c>
      <c r="E16" s="11">
        <v>46.719954020955591</v>
      </c>
      <c r="F16" s="10">
        <v>6025.4416963254525</v>
      </c>
      <c r="G16" s="11">
        <v>74.739797467626587</v>
      </c>
      <c r="H16" s="11">
        <v>53.000000000000036</v>
      </c>
      <c r="I16" s="11">
        <v>105.48291879381981</v>
      </c>
      <c r="J16" s="12">
        <v>0</v>
      </c>
      <c r="K16" s="11">
        <v>9311.4999999999891</v>
      </c>
      <c r="L16" s="11">
        <v>5.9999999999999742</v>
      </c>
      <c r="M16" s="11">
        <v>20.638320000000785</v>
      </c>
      <c r="N16" s="10">
        <v>7494.4490332677096</v>
      </c>
      <c r="O16" s="11">
        <v>47.638319999937728</v>
      </c>
      <c r="P16" s="11">
        <v>33.000000000000007</v>
      </c>
      <c r="Q16" s="11">
        <v>78.867000634799183</v>
      </c>
      <c r="R16" s="12">
        <v>0</v>
      </c>
      <c r="S16" s="11">
        <v>6753.0362407480252</v>
      </c>
      <c r="T16" s="75">
        <v>1440.9722222222226</v>
      </c>
      <c r="U16" s="75">
        <v>33.936354875194759</v>
      </c>
      <c r="V16" s="10">
        <v>7645.964179494742</v>
      </c>
      <c r="W16" s="11">
        <v>15.000000000000023</v>
      </c>
      <c r="X16" s="12">
        <v>28.892574748318658</v>
      </c>
      <c r="Y16" s="11">
        <v>6057.4018748031431</v>
      </c>
      <c r="Z16" s="11">
        <v>45.661574748292075</v>
      </c>
      <c r="AA16" s="11">
        <v>33.000000000000007</v>
      </c>
      <c r="AB16" s="41">
        <v>20.826446280991718</v>
      </c>
      <c r="AC16" s="11">
        <v>0</v>
      </c>
      <c r="AD16" s="10">
        <v>3583.5948857283424</v>
      </c>
      <c r="AE16" s="11">
        <v>10250.63853338893</v>
      </c>
      <c r="AF16" s="11">
        <v>438.35216672793621</v>
      </c>
      <c r="AG16" s="11">
        <v>324.99999999999994</v>
      </c>
      <c r="AH16" s="11">
        <v>41.883730638643996</v>
      </c>
      <c r="AI16" s="11">
        <v>669.9999999764641</v>
      </c>
      <c r="AJ16" s="12">
        <v>0</v>
      </c>
      <c r="AK16" s="11">
        <v>1082.3226714435684</v>
      </c>
      <c r="AL16" s="38">
        <v>713702.59412005008</v>
      </c>
      <c r="AM16" s="11">
        <v>274.59636717799998</v>
      </c>
      <c r="AN16" s="10">
        <v>640.00753110564244</v>
      </c>
      <c r="AO16" s="41">
        <v>734715.38443674694</v>
      </c>
      <c r="AP16" s="12">
        <v>91.490215979700011</v>
      </c>
      <c r="AQ16" s="11">
        <v>447.49999999999949</v>
      </c>
      <c r="AR16" s="41">
        <v>530362.88653303555</v>
      </c>
      <c r="AS16" s="41">
        <v>34511.371866100002</v>
      </c>
      <c r="AT16" s="13">
        <v>24583.034059359456</v>
      </c>
      <c r="AU16" s="11">
        <v>60337.666666763784</v>
      </c>
      <c r="AV16" s="13">
        <v>135709.38087486752</v>
      </c>
    </row>
    <row r="17" spans="1:48" x14ac:dyDescent="0.25">
      <c r="A17" s="32">
        <f t="shared" si="0"/>
        <v>44500</v>
      </c>
      <c r="B17" s="10">
        <v>6494.6279404199404</v>
      </c>
      <c r="C17" s="11">
        <v>48.020000000000024</v>
      </c>
      <c r="D17" s="11">
        <v>68.659782278131928</v>
      </c>
      <c r="E17" s="11">
        <v>0</v>
      </c>
      <c r="F17" s="10">
        <v>6024.5810582349013</v>
      </c>
      <c r="G17" s="11">
        <v>78.179782278094365</v>
      </c>
      <c r="H17" s="11">
        <v>57.539999999999992</v>
      </c>
      <c r="I17" s="11">
        <v>104.15217612781767</v>
      </c>
      <c r="J17" s="12">
        <v>0</v>
      </c>
      <c r="K17" s="11">
        <v>9309.9999999999909</v>
      </c>
      <c r="L17" s="11">
        <v>5.8300000000000027</v>
      </c>
      <c r="M17" s="11">
        <v>8.24017999999087</v>
      </c>
      <c r="N17" s="10">
        <v>7493.5237409120655</v>
      </c>
      <c r="O17" s="11">
        <v>37.280179999920662</v>
      </c>
      <c r="P17" s="11">
        <v>34.870000000000033</v>
      </c>
      <c r="Q17" s="11">
        <v>44.124377274132442</v>
      </c>
      <c r="R17" s="12">
        <v>0</v>
      </c>
      <c r="S17" s="11">
        <v>6753.0399999999927</v>
      </c>
      <c r="T17" s="75">
        <v>837.88512274891116</v>
      </c>
      <c r="U17" s="75">
        <v>0</v>
      </c>
      <c r="V17" s="10">
        <v>7644.9672146981538</v>
      </c>
      <c r="W17" s="11">
        <v>14.170000000000027</v>
      </c>
      <c r="X17" s="12">
        <v>16.240114613792251</v>
      </c>
      <c r="Y17" s="11">
        <v>6058.0943145013061</v>
      </c>
      <c r="Z17" s="11">
        <v>41.107114613807241</v>
      </c>
      <c r="AA17" s="11">
        <v>39.50999999999997</v>
      </c>
      <c r="AB17" s="41">
        <v>21.520661157024776</v>
      </c>
      <c r="AC17" s="11">
        <v>0</v>
      </c>
      <c r="AD17" s="10">
        <v>3581.6946899934346</v>
      </c>
      <c r="AE17" s="11">
        <v>10085.412019308094</v>
      </c>
      <c r="AF17" s="11">
        <v>490.1393853273434</v>
      </c>
      <c r="AG17" s="11">
        <v>442.64000000000004</v>
      </c>
      <c r="AH17" s="11">
        <v>28.58401647599587</v>
      </c>
      <c r="AI17" s="11">
        <v>640.00000000013961</v>
      </c>
      <c r="AJ17" s="12">
        <v>0</v>
      </c>
      <c r="AK17" s="11">
        <v>1083.7490570209961</v>
      </c>
      <c r="AL17" s="38">
        <v>521072.7026628399</v>
      </c>
      <c r="AM17" s="11">
        <v>203.185007012</v>
      </c>
      <c r="AN17" s="10">
        <v>632.99732935367388</v>
      </c>
      <c r="AO17" s="41">
        <v>679141.68721643439</v>
      </c>
      <c r="AP17" s="12">
        <v>82.126314149600006</v>
      </c>
      <c r="AQ17" s="11">
        <v>447.49999999999949</v>
      </c>
      <c r="AR17" s="41">
        <v>470553.67232736934</v>
      </c>
      <c r="AS17" s="41">
        <v>30973.528849900002</v>
      </c>
      <c r="AT17" s="13">
        <v>23522.801482902527</v>
      </c>
      <c r="AU17" s="11">
        <v>46385.666666698904</v>
      </c>
      <c r="AV17" s="13">
        <v>167799.02380256739</v>
      </c>
    </row>
    <row r="18" spans="1:48" x14ac:dyDescent="0.25">
      <c r="A18" s="32">
        <f t="shared" si="0"/>
        <v>44530</v>
      </c>
      <c r="B18" s="10">
        <v>6490.9729910761089</v>
      </c>
      <c r="C18" s="11">
        <v>41.830000000000027</v>
      </c>
      <c r="D18" s="11">
        <v>66.444950591740565</v>
      </c>
      <c r="E18" s="11">
        <v>0</v>
      </c>
      <c r="F18" s="10">
        <v>6023.7568992125916</v>
      </c>
      <c r="G18" s="11">
        <v>75.0949505916481</v>
      </c>
      <c r="H18" s="11">
        <v>50.479999999999983</v>
      </c>
      <c r="I18" s="11">
        <v>103.1819356497937</v>
      </c>
      <c r="J18" s="12">
        <v>0</v>
      </c>
      <c r="K18" s="11">
        <v>9308.4999999999891</v>
      </c>
      <c r="L18" s="11">
        <v>4.79</v>
      </c>
      <c r="M18" s="11">
        <v>7.1483200000100409</v>
      </c>
      <c r="N18" s="10">
        <v>7494.9999999999927</v>
      </c>
      <c r="O18" s="11">
        <v>32.108320000015063</v>
      </c>
      <c r="P18" s="11">
        <v>29.749999999999982</v>
      </c>
      <c r="Q18" s="11">
        <v>20.10789152948692</v>
      </c>
      <c r="R18" s="12">
        <v>0</v>
      </c>
      <c r="S18" s="11">
        <v>6753.0390355314894</v>
      </c>
      <c r="T18" s="75">
        <v>446.4614649560483</v>
      </c>
      <c r="U18" s="75">
        <v>0</v>
      </c>
      <c r="V18" s="10">
        <v>7645.969085629913</v>
      </c>
      <c r="W18" s="11">
        <v>8.3699999999999903</v>
      </c>
      <c r="X18" s="12">
        <v>5.9745479000106343</v>
      </c>
      <c r="Y18" s="11">
        <v>6058.6041099081294</v>
      </c>
      <c r="Z18" s="11">
        <v>28.167547900090298</v>
      </c>
      <c r="AA18" s="11">
        <v>30.870000000000029</v>
      </c>
      <c r="AB18" s="41">
        <v>20.826446280991718</v>
      </c>
      <c r="AC18" s="11">
        <v>0</v>
      </c>
      <c r="AD18" s="10">
        <v>3579.6136148293926</v>
      </c>
      <c r="AE18" s="11">
        <v>9906.4709728482212</v>
      </c>
      <c r="AF18" s="11">
        <v>474.13368397768295</v>
      </c>
      <c r="AG18" s="11">
        <v>440.78999999999996</v>
      </c>
      <c r="AH18" s="11">
        <v>27.390009763235291</v>
      </c>
      <c r="AI18" s="11">
        <v>639.99999999915894</v>
      </c>
      <c r="AJ18" s="12">
        <v>0</v>
      </c>
      <c r="AK18" s="11">
        <v>1083.8479457152221</v>
      </c>
      <c r="AL18" s="38">
        <v>639724.71578507184</v>
      </c>
      <c r="AM18" s="11">
        <v>253.50531956400002</v>
      </c>
      <c r="AN18" s="10">
        <v>634.99500232611479</v>
      </c>
      <c r="AO18" s="41">
        <v>559563.96210394369</v>
      </c>
      <c r="AP18" s="12">
        <v>66.743778344000006</v>
      </c>
      <c r="AQ18" s="11">
        <v>447.49999999999949</v>
      </c>
      <c r="AR18" s="41">
        <v>355284.46125471266</v>
      </c>
      <c r="AS18" s="41">
        <v>23088.800533900001</v>
      </c>
      <c r="AT18" s="13">
        <v>16775.329300589445</v>
      </c>
      <c r="AU18" s="11">
        <v>44828.666666610479</v>
      </c>
      <c r="AV18" s="13">
        <v>161588.09690097053</v>
      </c>
    </row>
    <row r="19" spans="1:48" x14ac:dyDescent="0.25">
      <c r="A19" s="32">
        <f t="shared" si="0"/>
        <v>44561</v>
      </c>
      <c r="B19" s="10">
        <v>6485.2151462270276</v>
      </c>
      <c r="C19" s="11">
        <v>31.99</v>
      </c>
      <c r="D19" s="11">
        <v>68.659782278131928</v>
      </c>
      <c r="E19" s="11">
        <v>0</v>
      </c>
      <c r="F19" s="10">
        <v>6022.8873781496004</v>
      </c>
      <c r="G19" s="11">
        <v>71.519782278121554</v>
      </c>
      <c r="H19" s="11">
        <v>34.849999999999987</v>
      </c>
      <c r="I19" s="11">
        <v>102.75630946962224</v>
      </c>
      <c r="J19" s="12">
        <v>0</v>
      </c>
      <c r="K19" s="11">
        <v>9308.4999999999891</v>
      </c>
      <c r="L19" s="11">
        <v>4.6799999999999979</v>
      </c>
      <c r="M19" s="11">
        <v>4.6800000000067206</v>
      </c>
      <c r="N19" s="10">
        <v>7489.9999999999927</v>
      </c>
      <c r="O19" s="11">
        <v>25.640000000101406</v>
      </c>
      <c r="P19" s="11">
        <v>25.639999999999979</v>
      </c>
      <c r="Q19" s="11">
        <v>64.908529636851412</v>
      </c>
      <c r="R19" s="12">
        <v>0</v>
      </c>
      <c r="S19" s="11">
        <v>6753.0399999999927</v>
      </c>
      <c r="T19" s="75">
        <v>1165.6406676414715</v>
      </c>
      <c r="U19" s="75">
        <v>0</v>
      </c>
      <c r="V19" s="10">
        <v>7647.4678458005164</v>
      </c>
      <c r="W19" s="11">
        <v>6.3400000000000283</v>
      </c>
      <c r="X19" s="12">
        <v>2.7862262548420569</v>
      </c>
      <c r="Y19" s="11">
        <v>6058.4825570866078</v>
      </c>
      <c r="Z19" s="11">
        <v>20.625226254845181</v>
      </c>
      <c r="AA19" s="11">
        <v>25.070000000000011</v>
      </c>
      <c r="AB19" s="41">
        <v>21.520661157024776</v>
      </c>
      <c r="AC19" s="11">
        <v>0</v>
      </c>
      <c r="AD19" s="10">
        <v>3576.6142892060329</v>
      </c>
      <c r="AE19" s="11">
        <v>9652.2673813114143</v>
      </c>
      <c r="AF19" s="11">
        <v>467.02042159528844</v>
      </c>
      <c r="AG19" s="11">
        <v>362.53</v>
      </c>
      <c r="AH19" s="11">
        <v>21.560294295517291</v>
      </c>
      <c r="AI19" s="11">
        <v>720.00000000069974</v>
      </c>
      <c r="AJ19" s="12">
        <v>0</v>
      </c>
      <c r="AK19" s="11">
        <v>1086.7006586286079</v>
      </c>
      <c r="AL19" s="38">
        <v>477115.46245444688</v>
      </c>
      <c r="AM19" s="11">
        <v>185.88915568600001</v>
      </c>
      <c r="AN19" s="10">
        <v>639.50562092519613</v>
      </c>
      <c r="AO19" s="41">
        <v>337401.27510182711</v>
      </c>
      <c r="AP19" s="12">
        <v>41.771176905700003</v>
      </c>
      <c r="AQ19" s="11">
        <v>446.49999999999949</v>
      </c>
      <c r="AR19" s="41">
        <v>236863.44934544526</v>
      </c>
      <c r="AS19" s="41">
        <v>14675.7187675</v>
      </c>
      <c r="AT19" s="13">
        <v>12222.665272745455</v>
      </c>
      <c r="AU19" s="11">
        <v>46309.666666595011</v>
      </c>
      <c r="AV19" s="13">
        <v>83950.196056264031</v>
      </c>
    </row>
    <row r="20" spans="1:48" x14ac:dyDescent="0.25">
      <c r="A20" s="32">
        <f t="shared" si="0"/>
        <v>44592</v>
      </c>
      <c r="B20" s="10">
        <v>6478.3434274606225</v>
      </c>
      <c r="C20" s="11">
        <v>30.310000000000013</v>
      </c>
      <c r="D20" s="11">
        <v>68.659782278131928</v>
      </c>
      <c r="E20" s="11">
        <v>0</v>
      </c>
      <c r="F20" s="10">
        <v>6023.1485649606229</v>
      </c>
      <c r="G20" s="11">
        <v>78.689782278208668</v>
      </c>
      <c r="H20" s="11">
        <v>40.340000000000011</v>
      </c>
      <c r="I20" s="11">
        <v>67.161404958703969</v>
      </c>
      <c r="J20" s="12">
        <v>0</v>
      </c>
      <c r="K20" s="11">
        <v>9308.331552001302</v>
      </c>
      <c r="L20" s="11">
        <v>4.3500000000000014</v>
      </c>
      <c r="M20" s="11">
        <v>4.6115702479338809</v>
      </c>
      <c r="N20" s="10">
        <v>7486.9999999999927</v>
      </c>
      <c r="O20" s="11">
        <v>24.571570247847848</v>
      </c>
      <c r="P20" s="11">
        <v>24.309999999999974</v>
      </c>
      <c r="Q20" s="11">
        <v>47.513320393089778</v>
      </c>
      <c r="R20" s="12">
        <v>0</v>
      </c>
      <c r="S20" s="11">
        <v>6753.0399999999927</v>
      </c>
      <c r="T20" s="75">
        <v>885.19134877403826</v>
      </c>
      <c r="U20" s="75">
        <v>0</v>
      </c>
      <c r="V20" s="10">
        <v>7647.4672544947425</v>
      </c>
      <c r="W20" s="11">
        <v>5.389999999999997</v>
      </c>
      <c r="X20" s="12">
        <v>5.3139177558376112</v>
      </c>
      <c r="Y20" s="11">
        <v>6058.4580646653485</v>
      </c>
      <c r="Z20" s="11">
        <v>21.843917755764469</v>
      </c>
      <c r="AA20" s="11">
        <v>21.919999999999973</v>
      </c>
      <c r="AB20" s="41">
        <v>21.520661157024776</v>
      </c>
      <c r="AC20" s="11">
        <v>0</v>
      </c>
      <c r="AD20" s="10">
        <v>3571.5192264107577</v>
      </c>
      <c r="AE20" s="11">
        <v>9230.4292255631699</v>
      </c>
      <c r="AF20" s="11">
        <v>410.78036061892556</v>
      </c>
      <c r="AG20" s="11">
        <v>361.18000000000006</v>
      </c>
      <c r="AH20" s="11">
        <v>6.3655695586417602</v>
      </c>
      <c r="AI20" s="11">
        <v>859.99999999950899</v>
      </c>
      <c r="AJ20" s="12">
        <v>0</v>
      </c>
      <c r="AK20" s="11">
        <v>1091.0010658267706</v>
      </c>
      <c r="AL20" s="38">
        <v>519512.82360939361</v>
      </c>
      <c r="AM20" s="11">
        <v>204.98642397400002</v>
      </c>
      <c r="AN20" s="10">
        <v>641.79754691929065</v>
      </c>
      <c r="AO20" s="41">
        <v>426955.94094602938</v>
      </c>
      <c r="AP20" s="12">
        <v>53.901872597599997</v>
      </c>
      <c r="AQ20" s="11">
        <v>446.49999999999949</v>
      </c>
      <c r="AR20" s="41">
        <v>255503.5699708146</v>
      </c>
      <c r="AS20" s="41">
        <v>16007.0259123</v>
      </c>
      <c r="AT20" s="13">
        <v>10785.364137203596</v>
      </c>
      <c r="AU20" s="11">
        <v>89889.33333322953</v>
      </c>
      <c r="AV20" s="13">
        <v>90721.345097443394</v>
      </c>
    </row>
    <row r="21" spans="1:48" x14ac:dyDescent="0.25">
      <c r="A21" s="32">
        <f t="shared" si="0"/>
        <v>44620</v>
      </c>
      <c r="B21" s="10">
        <v>6470.9911940288648</v>
      </c>
      <c r="C21" s="11">
        <v>27.659999999999979</v>
      </c>
      <c r="D21" s="11">
        <v>62.015287218957866</v>
      </c>
      <c r="E21" s="11">
        <v>0</v>
      </c>
      <c r="F21" s="10">
        <v>6023.4730499999932</v>
      </c>
      <c r="G21" s="11">
        <v>78.895287218986994</v>
      </c>
      <c r="H21" s="11">
        <v>44.54</v>
      </c>
      <c r="I21" s="11">
        <v>64.549055714896625</v>
      </c>
      <c r="J21" s="12">
        <v>0</v>
      </c>
      <c r="K21" s="11">
        <v>9307.9999999999891</v>
      </c>
      <c r="L21" s="11">
        <v>3.799999999999998</v>
      </c>
      <c r="M21" s="11">
        <v>4.3130097520623192</v>
      </c>
      <c r="N21" s="10">
        <v>7484.9999999999918</v>
      </c>
      <c r="O21" s="11">
        <v>22.903009752116102</v>
      </c>
      <c r="P21" s="11">
        <v>22.389999999999986</v>
      </c>
      <c r="Q21" s="11">
        <v>37.858657327448718</v>
      </c>
      <c r="R21" s="12">
        <v>0</v>
      </c>
      <c r="S21" s="11">
        <v>6753.0372994422505</v>
      </c>
      <c r="T21" s="75">
        <v>797.14402749482554</v>
      </c>
      <c r="U21" s="75">
        <v>0</v>
      </c>
      <c r="V21" s="10">
        <v>7647.467252066921</v>
      </c>
      <c r="W21" s="11">
        <v>4.740000000000002</v>
      </c>
      <c r="X21" s="12">
        <v>4.6428811812827018</v>
      </c>
      <c r="Y21" s="11">
        <v>6059.2082981627227</v>
      </c>
      <c r="Z21" s="11">
        <v>29.822881181373457</v>
      </c>
      <c r="AA21" s="11">
        <v>30.25</v>
      </c>
      <c r="AB21" s="41">
        <v>19.438016528925605</v>
      </c>
      <c r="AC21" s="11">
        <v>0</v>
      </c>
      <c r="AD21" s="10">
        <v>3567.631576213907</v>
      </c>
      <c r="AE21" s="11">
        <v>8917.0133588418194</v>
      </c>
      <c r="AF21" s="11">
        <v>418.10421162247752</v>
      </c>
      <c r="AG21" s="11">
        <v>392.98999999999978</v>
      </c>
      <c r="AH21" s="11">
        <v>6.5933482934049916</v>
      </c>
      <c r="AI21" s="11">
        <v>750.00000000055979</v>
      </c>
      <c r="AJ21" s="12">
        <v>0</v>
      </c>
      <c r="AK21" s="11">
        <v>1094.13554016076</v>
      </c>
      <c r="AL21" s="38">
        <v>520629.24810126133</v>
      </c>
      <c r="AM21" s="11">
        <v>205.03372511699999</v>
      </c>
      <c r="AN21" s="10">
        <v>641.79754691929065</v>
      </c>
      <c r="AO21" s="41">
        <v>500563.33405720792</v>
      </c>
      <c r="AP21" s="12">
        <v>63.298884414</v>
      </c>
      <c r="AQ21" s="11">
        <v>446.49999999999949</v>
      </c>
      <c r="AR21" s="41">
        <v>393876.47991926287</v>
      </c>
      <c r="AS21" s="41">
        <v>25558.567301999999</v>
      </c>
      <c r="AT21" s="13">
        <v>10867.254290097748</v>
      </c>
      <c r="AU21" s="11">
        <v>16677.333333329174</v>
      </c>
      <c r="AV21" s="13">
        <v>85506.185672520543</v>
      </c>
    </row>
    <row r="22" spans="1:48" x14ac:dyDescent="0.25">
      <c r="A22" s="32">
        <f t="shared" si="0"/>
        <v>44651</v>
      </c>
      <c r="B22" s="10">
        <v>6467.0128503608857</v>
      </c>
      <c r="C22" s="11">
        <v>52.600000000000023</v>
      </c>
      <c r="D22" s="11">
        <v>68.659782278131928</v>
      </c>
      <c r="E22" s="11">
        <v>0</v>
      </c>
      <c r="F22" s="10">
        <v>6024.8401373031438</v>
      </c>
      <c r="G22" s="11">
        <v>118.37978227820221</v>
      </c>
      <c r="H22" s="11">
        <v>102.32000000000023</v>
      </c>
      <c r="I22" s="11">
        <v>63.276051790556195</v>
      </c>
      <c r="J22" s="12">
        <v>0</v>
      </c>
      <c r="K22" s="11">
        <v>9306.4999999999909</v>
      </c>
      <c r="L22" s="11">
        <v>4.4399999999999995</v>
      </c>
      <c r="M22" s="11">
        <v>6.7291700000074286</v>
      </c>
      <c r="N22" s="10">
        <v>7484.4999999999918</v>
      </c>
      <c r="O22" s="11">
        <v>38.30917000005055</v>
      </c>
      <c r="P22" s="11">
        <v>36.020000000000017</v>
      </c>
      <c r="Q22" s="11">
        <v>41.649895157388727</v>
      </c>
      <c r="R22" s="12">
        <v>0</v>
      </c>
      <c r="S22" s="11">
        <v>6753.0399999999927</v>
      </c>
      <c r="T22" s="75">
        <v>844.33304149603543</v>
      </c>
      <c r="U22" s="75">
        <v>0</v>
      </c>
      <c r="V22" s="10">
        <v>7647.963703740149</v>
      </c>
      <c r="W22" s="11">
        <v>8.6000000000000245</v>
      </c>
      <c r="X22" s="12">
        <v>7.2387508157074354</v>
      </c>
      <c r="Y22" s="11">
        <v>6063.3681621719097</v>
      </c>
      <c r="Z22" s="11">
        <v>82.285750815743825</v>
      </c>
      <c r="AA22" s="11">
        <v>92.340000000000032</v>
      </c>
      <c r="AB22" s="41">
        <v>21.520661157024776</v>
      </c>
      <c r="AC22" s="11">
        <v>0</v>
      </c>
      <c r="AD22" s="10">
        <v>3564.8713569225683</v>
      </c>
      <c r="AE22" s="11">
        <v>8698.9323131291076</v>
      </c>
      <c r="AF22" s="11">
        <v>575.45972806033922</v>
      </c>
      <c r="AG22" s="11">
        <v>665.37999999999977</v>
      </c>
      <c r="AH22" s="11">
        <v>10.987252222007585</v>
      </c>
      <c r="AI22" s="11">
        <v>799.99999999908869</v>
      </c>
      <c r="AJ22" s="12">
        <v>0</v>
      </c>
      <c r="AK22" s="11">
        <v>1092.7763854593165</v>
      </c>
      <c r="AL22" s="38">
        <v>970281.93146069499</v>
      </c>
      <c r="AM22" s="11">
        <v>395.91621623000003</v>
      </c>
      <c r="AN22" s="10">
        <v>643.05459791010435</v>
      </c>
      <c r="AO22" s="41">
        <v>911359.35723853845</v>
      </c>
      <c r="AP22" s="12">
        <v>113.91487930299999</v>
      </c>
      <c r="AQ22" s="11">
        <v>446.69999999999948</v>
      </c>
      <c r="AR22" s="41">
        <v>639541.26349298761</v>
      </c>
      <c r="AS22" s="41">
        <v>41413.333178100002</v>
      </c>
      <c r="AT22" s="13">
        <v>15159.16030344908</v>
      </c>
      <c r="AU22" s="11">
        <v>85417.333333356306</v>
      </c>
      <c r="AV22" s="13">
        <v>169988.94266708032</v>
      </c>
    </row>
    <row r="23" spans="1:48" x14ac:dyDescent="0.25">
      <c r="A23" s="32">
        <f t="shared" si="0"/>
        <v>44681</v>
      </c>
      <c r="B23" s="10">
        <v>6465.5262656495997</v>
      </c>
      <c r="C23" s="11">
        <v>85.429999999999851</v>
      </c>
      <c r="D23" s="11">
        <v>90.659384822767592</v>
      </c>
      <c r="E23" s="11">
        <v>0</v>
      </c>
      <c r="F23" s="10">
        <v>6026.7193584973693</v>
      </c>
      <c r="G23" s="11">
        <v>138.72938482281123</v>
      </c>
      <c r="H23" s="11">
        <v>133.50000000000006</v>
      </c>
      <c r="I23" s="11">
        <v>61.234888829570508</v>
      </c>
      <c r="J23" s="12">
        <v>0</v>
      </c>
      <c r="K23" s="11">
        <v>9305.9999999999909</v>
      </c>
      <c r="L23" s="11">
        <v>8.7600000000000104</v>
      </c>
      <c r="M23" s="11">
        <v>9.5115299999924332</v>
      </c>
      <c r="N23" s="10">
        <v>7489.3552981627208</v>
      </c>
      <c r="O23" s="11">
        <v>77.831529999910003</v>
      </c>
      <c r="P23" s="11">
        <v>77.079999999999785</v>
      </c>
      <c r="Q23" s="11">
        <v>40.069641535517668</v>
      </c>
      <c r="R23" s="12">
        <v>0</v>
      </c>
      <c r="S23" s="11">
        <v>6753.0369792650845</v>
      </c>
      <c r="T23" s="75">
        <v>1067.5000000014129</v>
      </c>
      <c r="U23" s="75">
        <v>0</v>
      </c>
      <c r="V23" s="10">
        <v>7655.9703984579983</v>
      </c>
      <c r="W23" s="11">
        <v>23.32</v>
      </c>
      <c r="X23" s="12">
        <v>3.4205024544311331</v>
      </c>
      <c r="Y23" s="11">
        <v>6069.6533185039307</v>
      </c>
      <c r="Z23" s="11">
        <v>129.80650245442229</v>
      </c>
      <c r="AA23" s="11">
        <v>170.41999999999993</v>
      </c>
      <c r="AB23" s="41">
        <v>20.826446280991718</v>
      </c>
      <c r="AC23" s="11">
        <v>0</v>
      </c>
      <c r="AD23" s="10">
        <v>3566.1852639435656</v>
      </c>
      <c r="AE23" s="11">
        <v>8802.2818978732703</v>
      </c>
      <c r="AF23" s="11">
        <v>839.08599626806074</v>
      </c>
      <c r="AG23" s="11">
        <v>1055.510000000002</v>
      </c>
      <c r="AH23" s="11">
        <v>17.468447270323008</v>
      </c>
      <c r="AI23" s="11">
        <v>710.00000000083992</v>
      </c>
      <c r="AJ23" s="12">
        <v>0</v>
      </c>
      <c r="AK23" s="11">
        <v>1089.3469833858258</v>
      </c>
      <c r="AL23" s="38">
        <v>1034747.9448195667</v>
      </c>
      <c r="AM23" s="11">
        <v>419.93176495699998</v>
      </c>
      <c r="AN23" s="10">
        <v>642.99981670275531</v>
      </c>
      <c r="AO23" s="41">
        <v>1007052.1262112964</v>
      </c>
      <c r="AP23" s="12">
        <v>125.77656740899999</v>
      </c>
      <c r="AQ23" s="11">
        <v>448.69999999999948</v>
      </c>
      <c r="AR23" s="41">
        <v>709547.93267094984</v>
      </c>
      <c r="AS23" s="41">
        <v>46703.992313000002</v>
      </c>
      <c r="AT23" s="13">
        <v>21471.598089383337</v>
      </c>
      <c r="AU23" s="11">
        <v>82479.333333396804</v>
      </c>
      <c r="AV23" s="13">
        <v>163730.92796284141</v>
      </c>
    </row>
    <row r="24" spans="1:48" x14ac:dyDescent="0.25">
      <c r="A24" s="32">
        <f t="shared" si="0"/>
        <v>44712</v>
      </c>
      <c r="B24" s="10">
        <v>6479.9999999999936</v>
      </c>
      <c r="C24" s="11">
        <v>163.75000000000014</v>
      </c>
      <c r="D24" s="11">
        <v>96.790920868088151</v>
      </c>
      <c r="E24" s="11">
        <v>0</v>
      </c>
      <c r="F24" s="10">
        <v>6028.1869160104925</v>
      </c>
      <c r="G24" s="11">
        <v>178.20092086809595</v>
      </c>
      <c r="H24" s="11">
        <v>245.1600000000002</v>
      </c>
      <c r="I24" s="11">
        <v>112.85567965862062</v>
      </c>
      <c r="J24" s="12">
        <v>0</v>
      </c>
      <c r="K24" s="11">
        <v>9315.4999999999891</v>
      </c>
      <c r="L24" s="11">
        <v>28.279999999999987</v>
      </c>
      <c r="M24" s="11">
        <v>13.015520000013749</v>
      </c>
      <c r="N24" s="10">
        <v>7494.9999999999927</v>
      </c>
      <c r="O24" s="11">
        <v>205.80551999995043</v>
      </c>
      <c r="P24" s="11">
        <v>221.07000000000025</v>
      </c>
      <c r="Q24" s="11">
        <v>160.30396694718323</v>
      </c>
      <c r="R24" s="12">
        <v>0</v>
      </c>
      <c r="S24" s="11">
        <v>6753.0399999999927</v>
      </c>
      <c r="T24" s="75">
        <v>3583.0955115484076</v>
      </c>
      <c r="U24" s="75">
        <v>86.117560754192795</v>
      </c>
      <c r="V24" s="10">
        <v>7662.9645305118038</v>
      </c>
      <c r="W24" s="11">
        <v>71.429999999999836</v>
      </c>
      <c r="X24" s="12">
        <v>52.740022201069031</v>
      </c>
      <c r="Y24" s="11">
        <v>6075.7217272637727</v>
      </c>
      <c r="Z24" s="11">
        <v>221.68702220176306</v>
      </c>
      <c r="AA24" s="11">
        <v>277.11000000000013</v>
      </c>
      <c r="AB24" s="41">
        <v>95.008264462893905</v>
      </c>
      <c r="AC24" s="11">
        <v>0</v>
      </c>
      <c r="AD24" s="10">
        <v>3580.873420045928</v>
      </c>
      <c r="AE24" s="11">
        <v>10014.544123698213</v>
      </c>
      <c r="AF24" s="11">
        <v>2041.2218995433993</v>
      </c>
      <c r="AG24" s="11">
        <v>2342.9899999999989</v>
      </c>
      <c r="AH24" s="11">
        <v>21.978693236782707</v>
      </c>
      <c r="AI24" s="11">
        <v>710.00000000062983</v>
      </c>
      <c r="AJ24" s="12">
        <v>0</v>
      </c>
      <c r="AK24" s="11">
        <v>1085.9374470144346</v>
      </c>
      <c r="AL24" s="38">
        <v>996078.71291598142</v>
      </c>
      <c r="AM24" s="11">
        <v>388.83358605900003</v>
      </c>
      <c r="AN24" s="10">
        <v>642.99981670275531</v>
      </c>
      <c r="AO24" s="41">
        <v>964078.39977350715</v>
      </c>
      <c r="AP24" s="12">
        <v>120.744649537</v>
      </c>
      <c r="AQ24" s="11">
        <v>448.69999999999948</v>
      </c>
      <c r="AR24" s="41">
        <v>707637.50328545005</v>
      </c>
      <c r="AS24" s="41">
        <v>47053.975707199999</v>
      </c>
      <c r="AT24" s="13">
        <v>27987.468254985997</v>
      </c>
      <c r="AU24" s="11">
        <v>74209.33333340635</v>
      </c>
      <c r="AV24" s="13">
        <v>172075.53625345964</v>
      </c>
    </row>
    <row r="25" spans="1:48" x14ac:dyDescent="0.25">
      <c r="A25" s="32">
        <f t="shared" si="0"/>
        <v>44742</v>
      </c>
      <c r="B25" s="10">
        <v>6499.9999999999936</v>
      </c>
      <c r="C25" s="11">
        <v>299.22999999999979</v>
      </c>
      <c r="D25" s="11">
        <v>165.05527000018432</v>
      </c>
      <c r="E25" s="11">
        <v>62.837063657610535</v>
      </c>
      <c r="F25" s="10">
        <v>6029.197691699469</v>
      </c>
      <c r="G25" s="11">
        <v>255.53527000079617</v>
      </c>
      <c r="H25" s="11">
        <v>389.70999999999987</v>
      </c>
      <c r="I25" s="11">
        <v>204.97699593109223</v>
      </c>
      <c r="J25" s="12">
        <v>0</v>
      </c>
      <c r="K25" s="11">
        <v>9327.9999999999891</v>
      </c>
      <c r="L25" s="11">
        <v>41.72000000000002</v>
      </c>
      <c r="M25" s="11">
        <v>18.515979999999587</v>
      </c>
      <c r="N25" s="10">
        <v>7516.3999999999924</v>
      </c>
      <c r="O25" s="11">
        <v>237.84598000097697</v>
      </c>
      <c r="P25" s="11">
        <v>261.04999999999984</v>
      </c>
      <c r="Q25" s="11">
        <v>54.732171925434677</v>
      </c>
      <c r="R25" s="12">
        <v>0</v>
      </c>
      <c r="S25" s="11">
        <v>6753.0346360564236</v>
      </c>
      <c r="T25" s="75">
        <v>1820.9882195169259</v>
      </c>
      <c r="U25" s="75">
        <v>0</v>
      </c>
      <c r="V25" s="10">
        <v>7664.8070742782065</v>
      </c>
      <c r="W25" s="11">
        <v>70.349999999999724</v>
      </c>
      <c r="X25" s="12">
        <v>64.786150850636176</v>
      </c>
      <c r="Y25" s="11">
        <v>6072.6871755905449</v>
      </c>
      <c r="Z25" s="11">
        <v>189.22615085062262</v>
      </c>
      <c r="AA25" s="11">
        <v>223.57000000000002</v>
      </c>
      <c r="AB25" s="41">
        <v>174.23979460741168</v>
      </c>
      <c r="AC25" s="11">
        <v>0</v>
      </c>
      <c r="AD25" s="10">
        <v>3596.5243206692871</v>
      </c>
      <c r="AE25" s="11">
        <v>11421.476346024625</v>
      </c>
      <c r="AF25" s="11">
        <v>2308.0381143368395</v>
      </c>
      <c r="AG25" s="11">
        <v>2666.0499999999984</v>
      </c>
      <c r="AH25" s="11">
        <v>38.551311341435138</v>
      </c>
      <c r="AI25" s="11">
        <v>749.99999999999943</v>
      </c>
      <c r="AJ25" s="12">
        <v>0</v>
      </c>
      <c r="AK25" s="11">
        <v>1083.1164859120724</v>
      </c>
      <c r="AL25" s="38">
        <v>950106.92943766841</v>
      </c>
      <c r="AM25" s="11">
        <v>370.56624010300004</v>
      </c>
      <c r="AN25" s="10">
        <v>642.99981670275531</v>
      </c>
      <c r="AO25" s="41">
        <v>909897.01439914783</v>
      </c>
      <c r="AP25" s="12">
        <v>114.07056922400001</v>
      </c>
      <c r="AQ25" s="11">
        <v>448.69999999999948</v>
      </c>
      <c r="AR25" s="41">
        <v>720233.92435404356</v>
      </c>
      <c r="AS25" s="41">
        <v>47962.589323100001</v>
      </c>
      <c r="AT25" s="13">
        <v>28081.426430512434</v>
      </c>
      <c r="AU25" s="11">
        <v>71633.333333232411</v>
      </c>
      <c r="AV25" s="13">
        <v>100107.92564020479</v>
      </c>
    </row>
    <row r="26" spans="1:48" x14ac:dyDescent="0.25">
      <c r="A26" s="32">
        <f t="shared" si="0"/>
        <v>44773</v>
      </c>
      <c r="B26" s="10">
        <v>6505.4999999999936</v>
      </c>
      <c r="C26" s="11">
        <v>177.52000000000007</v>
      </c>
      <c r="D26" s="11">
        <v>132.09871748032728</v>
      </c>
      <c r="E26" s="11">
        <v>31.323239880804461</v>
      </c>
      <c r="F26" s="10">
        <v>6030.0348247047186</v>
      </c>
      <c r="G26" s="11">
        <v>164.74871748026283</v>
      </c>
      <c r="H26" s="11">
        <v>210.1699999999999</v>
      </c>
      <c r="I26" s="11">
        <v>117.62581382572867</v>
      </c>
      <c r="J26" s="12">
        <v>0</v>
      </c>
      <c r="K26" s="11">
        <v>9326.4999999999909</v>
      </c>
      <c r="L26" s="11">
        <v>20.140000000000033</v>
      </c>
      <c r="M26" s="11">
        <v>23.102049999992875</v>
      </c>
      <c r="N26" s="10">
        <v>7516.3999999999924</v>
      </c>
      <c r="O26" s="11">
        <v>119.8120499999558</v>
      </c>
      <c r="P26" s="11">
        <v>116.84999999999992</v>
      </c>
      <c r="Q26" s="11">
        <v>118.22445255260982</v>
      </c>
      <c r="R26" s="12">
        <v>0</v>
      </c>
      <c r="S26" s="11">
        <v>6753.0399999999927</v>
      </c>
      <c r="T26" s="75">
        <v>2257.4809945490138</v>
      </c>
      <c r="U26" s="75">
        <v>4.6079793022222528</v>
      </c>
      <c r="V26" s="10">
        <v>7659.9404467191525</v>
      </c>
      <c r="W26" s="11">
        <v>29.009999999999987</v>
      </c>
      <c r="X26" s="12">
        <v>41.368275034126512</v>
      </c>
      <c r="Y26" s="11">
        <v>6069.6309744422506</v>
      </c>
      <c r="Z26" s="11">
        <v>73.53527503412748</v>
      </c>
      <c r="AA26" s="11">
        <v>65.989999999999853</v>
      </c>
      <c r="AB26" s="41">
        <v>53.783630207967278</v>
      </c>
      <c r="AC26" s="11">
        <v>0</v>
      </c>
      <c r="AD26" s="10">
        <v>3598.0064881561643</v>
      </c>
      <c r="AE26" s="11">
        <v>11560.885738174169</v>
      </c>
      <c r="AF26" s="11">
        <v>1049.7295398980832</v>
      </c>
      <c r="AG26" s="11">
        <v>1090.8399999999995</v>
      </c>
      <c r="AH26" s="11">
        <v>49.16740000264781</v>
      </c>
      <c r="AI26" s="11">
        <v>850.00000000378179</v>
      </c>
      <c r="AJ26" s="12">
        <v>0</v>
      </c>
      <c r="AK26" s="11">
        <v>1083.0935164468492</v>
      </c>
      <c r="AL26" s="38">
        <v>829372.31793997297</v>
      </c>
      <c r="AM26" s="11">
        <v>323.11942726500001</v>
      </c>
      <c r="AN26" s="10">
        <v>641.99704448162663</v>
      </c>
      <c r="AO26" s="41">
        <v>819498.32380413939</v>
      </c>
      <c r="AP26" s="12">
        <v>102.88147697400001</v>
      </c>
      <c r="AQ26" s="11">
        <v>447.99999999999949</v>
      </c>
      <c r="AR26" s="41">
        <v>694891.83758822782</v>
      </c>
      <c r="AS26" s="41">
        <v>46002.618638400003</v>
      </c>
      <c r="AT26" s="13">
        <v>28576.215354325712</v>
      </c>
      <c r="AU26" s="11">
        <v>74202.333333231058</v>
      </c>
      <c r="AV26" s="13">
        <v>52129.518564855658</v>
      </c>
    </row>
    <row r="27" spans="1:48" x14ac:dyDescent="0.25">
      <c r="A27" s="43">
        <f t="shared" si="0"/>
        <v>44804</v>
      </c>
      <c r="B27" s="11">
        <v>6502.2570113516995</v>
      </c>
      <c r="C27" s="11">
        <v>76.510000000000318</v>
      </c>
      <c r="D27" s="11">
        <v>99.723852525915049</v>
      </c>
      <c r="E27" s="11">
        <v>0</v>
      </c>
      <c r="F27" s="10">
        <v>6029.6135488845075</v>
      </c>
      <c r="G27" s="11">
        <v>111.84385252580884</v>
      </c>
      <c r="H27" s="11">
        <v>88.629999999999896</v>
      </c>
      <c r="I27" s="11">
        <v>115.96595994416215</v>
      </c>
      <c r="J27" s="12">
        <v>0</v>
      </c>
      <c r="K27" s="11">
        <v>9319.9999999999891</v>
      </c>
      <c r="L27" s="11">
        <v>10.299999999999986</v>
      </c>
      <c r="M27" s="11">
        <v>22.584350000033176</v>
      </c>
      <c r="N27" s="10">
        <v>7511.5783436351621</v>
      </c>
      <c r="O27" s="11">
        <v>75.744350000005937</v>
      </c>
      <c r="P27" s="11">
        <v>63.460000000000093</v>
      </c>
      <c r="Q27" s="11">
        <v>117.42816393057237</v>
      </c>
      <c r="R27" s="12">
        <v>0</v>
      </c>
      <c r="S27" s="11">
        <v>6753.0399999999927</v>
      </c>
      <c r="T27" s="75">
        <v>2095.2574826874288</v>
      </c>
      <c r="U27" s="75">
        <v>0</v>
      </c>
      <c r="V27" s="10">
        <v>7651.9387120078663</v>
      </c>
      <c r="W27" s="11">
        <v>19.799999999999976</v>
      </c>
      <c r="X27" s="12">
        <v>39.602772367842114</v>
      </c>
      <c r="Y27" s="11">
        <v>6066.4582182414633</v>
      </c>
      <c r="Z27" s="11">
        <v>62.888772367937015</v>
      </c>
      <c r="AA27" s="11">
        <v>45.090000000000032</v>
      </c>
      <c r="AB27" s="41">
        <v>53.783630207967278</v>
      </c>
      <c r="AC27" s="11">
        <v>0</v>
      </c>
      <c r="AD27" s="10">
        <v>3594.9550773293927</v>
      </c>
      <c r="AE27" s="11">
        <v>11275.040214415967</v>
      </c>
      <c r="AF27" s="11">
        <v>640.22295107110494</v>
      </c>
      <c r="AG27" s="11">
        <v>499.88000000000005</v>
      </c>
      <c r="AH27" s="11">
        <v>48.936109349866705</v>
      </c>
      <c r="AI27" s="11">
        <v>899.99999999761769</v>
      </c>
      <c r="AJ27" s="12">
        <v>0</v>
      </c>
      <c r="AK27" s="11">
        <v>1084.2310082185029</v>
      </c>
      <c r="AL27" s="38">
        <v>788103.07881858456</v>
      </c>
      <c r="AM27" s="11">
        <v>305.89713469100002</v>
      </c>
      <c r="AN27" s="10">
        <v>641.99704448162663</v>
      </c>
      <c r="AO27" s="41">
        <v>753232.75461688859</v>
      </c>
      <c r="AP27" s="12">
        <v>94.494296412899999</v>
      </c>
      <c r="AQ27" s="11">
        <v>447.50000000328043</v>
      </c>
      <c r="AR27" s="41">
        <v>625367.01913761545</v>
      </c>
      <c r="AS27" s="41">
        <v>40990.7254952</v>
      </c>
      <c r="AT27" s="13">
        <v>29056.350250718766</v>
      </c>
      <c r="AU27" s="11">
        <v>74202.333333231058</v>
      </c>
      <c r="AV27" s="13">
        <v>52129.518564855658</v>
      </c>
    </row>
    <row r="28" spans="1:48" x14ac:dyDescent="0.25">
      <c r="A28" s="43">
        <f t="shared" si="0"/>
        <v>44834</v>
      </c>
      <c r="B28" s="11">
        <v>6499.0453864829333</v>
      </c>
      <c r="C28" s="11">
        <v>45.86999999999999</v>
      </c>
      <c r="D28" s="11">
        <v>68.41724498709236</v>
      </c>
      <c r="E28" s="11">
        <v>0</v>
      </c>
      <c r="F28" s="10">
        <v>6028.4069872703349</v>
      </c>
      <c r="G28" s="11">
        <v>77.657244986893971</v>
      </c>
      <c r="H28" s="11">
        <v>55.110000000000021</v>
      </c>
      <c r="I28" s="11">
        <v>114.45320752190051</v>
      </c>
      <c r="J28" s="12">
        <v>0</v>
      </c>
      <c r="K28" s="11">
        <v>9311.4999999999891</v>
      </c>
      <c r="L28" s="11">
        <v>7.3700000000000259</v>
      </c>
      <c r="M28" s="11">
        <v>22.008319999922612</v>
      </c>
      <c r="N28" s="10">
        <v>7503.5785973425118</v>
      </c>
      <c r="O28" s="11">
        <v>52.678320000058754</v>
      </c>
      <c r="P28" s="11">
        <v>38.040000000000006</v>
      </c>
      <c r="Q28" s="11">
        <v>120.23076796034957</v>
      </c>
      <c r="R28" s="12">
        <v>0</v>
      </c>
      <c r="S28" s="11">
        <v>6753.0362407480252</v>
      </c>
      <c r="T28" s="11">
        <v>2165.8591453303593</v>
      </c>
      <c r="U28" s="11">
        <v>80.955680708886078</v>
      </c>
      <c r="V28" s="10">
        <v>7645.9443860236133</v>
      </c>
      <c r="W28" s="11">
        <v>17.470000000000006</v>
      </c>
      <c r="X28" s="12">
        <v>31.362574748227875</v>
      </c>
      <c r="Y28" s="11">
        <v>6063.0000013779463</v>
      </c>
      <c r="Z28" s="11">
        <v>55.32957474829611</v>
      </c>
      <c r="AA28" s="11">
        <v>43.189999999999991</v>
      </c>
      <c r="AB28" s="41">
        <v>71.971445587432441</v>
      </c>
      <c r="AC28" s="11">
        <v>0</v>
      </c>
      <c r="AD28" s="10">
        <v>3593.8733664370043</v>
      </c>
      <c r="AE28" s="11">
        <v>11174.79543793361</v>
      </c>
      <c r="AF28" s="11">
        <v>606.42522208682135</v>
      </c>
      <c r="AG28" s="11">
        <v>408.20999999999992</v>
      </c>
      <c r="AH28" s="11">
        <v>44.689578139715671</v>
      </c>
      <c r="AI28" s="11">
        <v>669.9999999764641</v>
      </c>
      <c r="AJ28" s="12">
        <v>0</v>
      </c>
      <c r="AK28" s="11">
        <v>1083.6164459711274</v>
      </c>
      <c r="AL28" s="38">
        <v>715701.3426434251</v>
      </c>
      <c r="AM28" s="11">
        <v>276.24507848399998</v>
      </c>
      <c r="AN28" s="10">
        <v>640.00753110564244</v>
      </c>
      <c r="AO28" s="41">
        <v>736714.13296012196</v>
      </c>
      <c r="AP28" s="12">
        <v>91.73242115379999</v>
      </c>
      <c r="AQ28" s="11">
        <v>447.49999999999949</v>
      </c>
      <c r="AR28" s="41">
        <v>531459.88653219433</v>
      </c>
      <c r="AS28" s="41">
        <v>34585.369957399998</v>
      </c>
      <c r="AT28" s="13">
        <v>25083.3848328764</v>
      </c>
      <c r="AU28" s="11">
        <v>56163.333333281174</v>
      </c>
      <c r="AV28" s="13">
        <v>140785.46273193593</v>
      </c>
    </row>
    <row r="29" spans="1:48" x14ac:dyDescent="0.25">
      <c r="A29" s="43">
        <f t="shared" si="0"/>
        <v>44865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38"/>
      <c r="AM29" s="11"/>
      <c r="AN29" s="10"/>
      <c r="AO29" s="41"/>
      <c r="AP29" s="12"/>
      <c r="AQ29" s="11"/>
      <c r="AR29" s="41"/>
      <c r="AS29" s="41"/>
      <c r="AT29" s="13"/>
      <c r="AU29" s="11"/>
      <c r="AV29" s="13"/>
    </row>
    <row r="30" spans="1:48" x14ac:dyDescent="0.25">
      <c r="A30" s="43">
        <f t="shared" si="0"/>
        <v>44895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38"/>
      <c r="AM30" s="11"/>
      <c r="AN30" s="10"/>
      <c r="AO30" s="41"/>
      <c r="AP30" s="12"/>
      <c r="AQ30" s="11"/>
      <c r="AR30" s="41"/>
      <c r="AS30" s="41"/>
      <c r="AT30" s="13"/>
      <c r="AU30" s="11"/>
      <c r="AV30" s="13"/>
    </row>
    <row r="31" spans="1:48" x14ac:dyDescent="0.25">
      <c r="A31" s="43">
        <f t="shared" si="0"/>
        <v>44926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spans="1:48" x14ac:dyDescent="0.25">
      <c r="A32" s="43">
        <f t="shared" si="0"/>
        <v>44957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spans="1:48" x14ac:dyDescent="0.25">
      <c r="A33" s="43">
        <f t="shared" si="0"/>
        <v>44985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spans="1:48" x14ac:dyDescent="0.25">
      <c r="A34" s="43">
        <f t="shared" si="0"/>
        <v>45016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spans="1:48" x14ac:dyDescent="0.25">
      <c r="A35" s="44">
        <f t="shared" si="0"/>
        <v>45046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AV35"/>
  <sheetViews>
    <sheetView zoomScale="90" zoomScaleNormal="90" workbookViewId="0">
      <selection activeCell="B4" sqref="B4:AV35"/>
    </sheetView>
  </sheetViews>
  <sheetFormatPr defaultRowHeight="15" x14ac:dyDescent="0.25"/>
  <cols>
    <col min="1" max="1" width="16.42578125" customWidth="1"/>
    <col min="2" max="2" width="9.28515625" bestFit="1" customWidth="1"/>
    <col min="3" max="3" width="9.28515625" customWidth="1"/>
    <col min="4" max="6" width="9.28515625" bestFit="1" customWidth="1"/>
    <col min="7" max="8" width="9.28515625" customWidth="1"/>
    <col min="9" max="11" width="9.28515625" bestFit="1" customWidth="1"/>
    <col min="12" max="12" width="9.28515625" customWidth="1"/>
    <col min="13" max="14" width="9.28515625" bestFit="1" customWidth="1"/>
    <col min="15" max="16" width="9.28515625" customWidth="1"/>
    <col min="17" max="19" width="9.28515625" bestFit="1" customWidth="1"/>
    <col min="20" max="20" width="12.28515625" bestFit="1" customWidth="1"/>
    <col min="21" max="22" width="9.28515625" bestFit="1" customWidth="1"/>
    <col min="23" max="23" width="9.28515625" customWidth="1"/>
    <col min="24" max="25" width="9.28515625" bestFit="1" customWidth="1"/>
    <col min="26" max="27" width="9.28515625" customWidth="1"/>
    <col min="28" max="28" width="10.28515625" bestFit="1" customWidth="1"/>
    <col min="29" max="30" width="9.28515625" bestFit="1" customWidth="1"/>
    <col min="31" max="31" width="13.140625" customWidth="1"/>
    <col min="32" max="34" width="9.28515625" customWidth="1"/>
    <col min="35" max="37" width="9.28515625" bestFit="1" customWidth="1"/>
    <col min="38" max="38" width="15.7109375" customWidth="1"/>
    <col min="39" max="45" width="9.28515625" bestFit="1" customWidth="1"/>
    <col min="46" max="46" width="28.85546875" customWidth="1"/>
    <col min="47" max="48" width="19.140625" customWidth="1"/>
  </cols>
  <sheetData>
    <row r="1" spans="1:48" ht="18.75" x14ac:dyDescent="0.3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spans="1:48" x14ac:dyDescent="0.25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spans="1:48" x14ac:dyDescent="0.25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spans="1:48" x14ac:dyDescent="0.25">
      <c r="A4" s="53">
        <f>RunInformation!AD5</f>
        <v>44104</v>
      </c>
      <c r="B4" s="6">
        <f>'24MS_Data'!B4-MTOM_Data!B4</f>
        <v>-0.21727660761098377</v>
      </c>
      <c r="C4" s="7">
        <f>'24MS_Data'!C4-MTOM_Data!C4</f>
        <v>0</v>
      </c>
      <c r="D4" s="7">
        <f>'24MS_Data'!D4-MTOM_Data!D4</f>
        <v>1.4791084906116225</v>
      </c>
      <c r="E4" s="7">
        <f>'24MS_Data'!E4-MTOM_Data!E4</f>
        <v>0</v>
      </c>
      <c r="F4" s="6">
        <f>'24MS_Data'!F4-MTOM_Data!F4</f>
        <v>-0.92952493438315287</v>
      </c>
      <c r="G4" s="7">
        <f>'24MS_Data'!G4-MTOM_Data!G4</f>
        <v>1.4791084906552783</v>
      </c>
      <c r="H4" s="7">
        <f>'24MS_Data'!H4-MTOM_Data!H4</f>
        <v>0</v>
      </c>
      <c r="I4" s="7">
        <f>'24MS_Data'!I4-MTOM_Data!I4</f>
        <v>37.705867768595255</v>
      </c>
      <c r="J4" s="8">
        <f>'24MS_Data'!J4-MTOM_Data!J4</f>
        <v>0</v>
      </c>
      <c r="K4" s="7">
        <f>'24MS_Data'!K4-MTOM_Data!K4</f>
        <v>-3.9576632545940811</v>
      </c>
      <c r="L4" s="7">
        <f>'24MS_Data'!L4-MTOM_Data!L4</f>
        <v>0</v>
      </c>
      <c r="M4" s="7">
        <f>'24MS_Data'!M4-MTOM_Data!M4</f>
        <v>5.8491735537189928</v>
      </c>
      <c r="N4" s="6">
        <f>'24MS_Data'!N4-MTOM_Data!N4</f>
        <v>1.3480134514447855</v>
      </c>
      <c r="O4" s="7">
        <f>'24MS_Data'!O4-MTOM_Data!O4</f>
        <v>5.849173553845084</v>
      </c>
      <c r="P4" s="7">
        <f>'24MS_Data'!P4-MTOM_Data!P4</f>
        <v>0</v>
      </c>
      <c r="Q4" s="7">
        <f>'24MS_Data'!Q4-MTOM_Data!Q4</f>
        <v>-3.3601360802730369</v>
      </c>
      <c r="R4" s="8">
        <f>'24MS_Data'!R4-MTOM_Data!R4</f>
        <v>0</v>
      </c>
      <c r="S4" s="7">
        <f>'24MS_Data'!S4-MTOM_Data!S4</f>
        <v>-3.4029387795262664</v>
      </c>
      <c r="T4" s="7">
        <f>'24MS_Data'!T4-MTOM_Data!T4</f>
        <v>-1338.8953510481472</v>
      </c>
      <c r="U4" s="7">
        <f>'24MS_Data'!U4-MTOM_Data!U4</f>
        <v>0</v>
      </c>
      <c r="V4" s="6">
        <f>'24MS_Data'!V4-MTOM_Data!V4</f>
        <v>-15.689362860892288</v>
      </c>
      <c r="W4" s="7">
        <f>'24MS_Data'!W4-MTOM_Data!W4</f>
        <v>0</v>
      </c>
      <c r="X4" s="8">
        <f>'24MS_Data'!X4-MTOM_Data!X4</f>
        <v>27.58487609999904</v>
      </c>
      <c r="Y4" s="7">
        <f>'24MS_Data'!Y4-MTOM_Data!Y4</f>
        <v>0.9030205380577172</v>
      </c>
      <c r="Z4" s="7">
        <f>'24MS_Data'!Z4-MTOM_Data!Z4</f>
        <v>27.584876100034336</v>
      </c>
      <c r="AA4" s="7">
        <f>'24MS_Data'!AA4-MTOM_Data!AA4</f>
        <v>0</v>
      </c>
      <c r="AB4" s="7">
        <f>'24MS_Data'!AB4-MTOM_Data!AB4</f>
        <v>17.433553719008259</v>
      </c>
      <c r="AC4" s="7">
        <f>'24MS_Data'!AC4-MTOM_Data!AC4</f>
        <v>0</v>
      </c>
      <c r="AD4" s="6">
        <f>'24MS_Data'!AD4-MTOM_Data!AD4</f>
        <v>0.56559763779569039</v>
      </c>
      <c r="AE4" s="7">
        <f>'24MS_Data'!AE4-MTOM_Data!AE4</f>
        <v>53.091141601409618</v>
      </c>
      <c r="AF4" s="7">
        <f>'24MS_Data'!AF4-MTOM_Data!AF4</f>
        <v>57.413063835910464</v>
      </c>
      <c r="AG4" s="7">
        <f>'24MS_Data'!AG4-MTOM_Data!AG4</f>
        <v>0</v>
      </c>
      <c r="AH4" s="7">
        <f>'24MS_Data'!AH4-MTOM_Data!AH4</f>
        <v>8.4574502781023853E-2</v>
      </c>
      <c r="AI4" s="7">
        <f>'24MS_Data'!AI4-MTOM_Data!AI4</f>
        <v>2.5289788106874767E-4</v>
      </c>
      <c r="AJ4" s="8">
        <f>'24MS_Data'!AJ4-MTOM_Data!AJ4</f>
        <v>0</v>
      </c>
      <c r="AK4" s="7">
        <f>'24MS_Data'!AK4-MTOM_Data!AK4</f>
        <v>2.8248032322153449E-6</v>
      </c>
      <c r="AL4" s="7">
        <f>'24MS_Data'!AL4-MTOM_Data!AL4</f>
        <v>0</v>
      </c>
      <c r="AM4" s="7">
        <f>'24MS_Data'!AM4-MTOM_Data!AM4</f>
        <v>1.5606816839999738</v>
      </c>
      <c r="AN4" s="6">
        <f>'24MS_Data'!AN4-MTOM_Data!AN4</f>
        <v>0</v>
      </c>
      <c r="AO4" s="7">
        <f>'24MS_Data'!AO4-MTOM_Data!AO4</f>
        <v>0</v>
      </c>
      <c r="AP4" s="8">
        <f>'24MS_Data'!AP4-MTOM_Data!AP4</f>
        <v>0</v>
      </c>
      <c r="AQ4" s="7">
        <f>'24MS_Data'!AQ4-MTOM_Data!AQ4</f>
        <v>0</v>
      </c>
      <c r="AR4" s="7">
        <f>'24MS_Data'!AR4-MTOM_Data!AR4</f>
        <v>0</v>
      </c>
      <c r="AS4" s="7">
        <f>'24MS_Data'!AS4-MTOM_Data!AS4</f>
        <v>0</v>
      </c>
      <c r="AT4" s="9">
        <f>'24MS_Data'!AT4-MTOM_Data!AT4</f>
        <v>0</v>
      </c>
      <c r="AU4" s="7">
        <f>'24MS_Data'!AU4-MTOM_Data!AU4</f>
        <v>0</v>
      </c>
      <c r="AV4" s="9">
        <f>'24MS_Data'!AV4-MTOM_Data!AV4</f>
        <v>0</v>
      </c>
    </row>
    <row r="5" spans="1:48" x14ac:dyDescent="0.25">
      <c r="A5" s="49">
        <f>EOMONTH(A4,1)</f>
        <v>44135</v>
      </c>
      <c r="B5" s="10">
        <f>'24MS_Data'!B5-MTOM_Data!B5</f>
        <v>-0.17657890419923206</v>
      </c>
      <c r="C5" s="11">
        <f>'24MS_Data'!C5-MTOM_Data!C5</f>
        <v>0</v>
      </c>
      <c r="D5" s="11">
        <f>'24MS_Data'!D5-MTOM_Data!D5</f>
        <v>-0.3251554442455884</v>
      </c>
      <c r="E5" s="11">
        <f>'24MS_Data'!E5-MTOM_Data!E5</f>
        <v>-0.30391292627113131</v>
      </c>
      <c r="F5" s="10">
        <f>'24MS_Data'!F5-MTOM_Data!F5</f>
        <v>-0.6636197506559256</v>
      </c>
      <c r="G5" s="11">
        <f>'24MS_Data'!G5-MTOM_Data!G5</f>
        <v>-0.32515544423392839</v>
      </c>
      <c r="H5" s="11">
        <f>'24MS_Data'!H5-MTOM_Data!H5</f>
        <v>0</v>
      </c>
      <c r="I5" s="11">
        <f>'24MS_Data'!I5-MTOM_Data!I5</f>
        <v>-10.713884297520423</v>
      </c>
      <c r="J5" s="12">
        <f>'24MS_Data'!J5-MTOM_Data!J5</f>
        <v>0</v>
      </c>
      <c r="K5" s="11">
        <f>'24MS_Data'!K5-MTOM_Data!K5</f>
        <v>-4.8189813648295967</v>
      </c>
      <c r="L5" s="11">
        <f>'24MS_Data'!L5-MTOM_Data!L5</f>
        <v>0</v>
      </c>
      <c r="M5" s="11">
        <f>'24MS_Data'!M5-MTOM_Data!M5</f>
        <v>1.1412396694214992</v>
      </c>
      <c r="N5" s="10">
        <f>'24MS_Data'!N5-MTOM_Data!N5</f>
        <v>-3.099452001312784</v>
      </c>
      <c r="O5" s="11">
        <f>'24MS_Data'!O5-MTOM_Data!O5</f>
        <v>1.1412396695355191</v>
      </c>
      <c r="P5" s="11">
        <f>'24MS_Data'!P5-MTOM_Data!P5</f>
        <v>0</v>
      </c>
      <c r="Q5" s="11">
        <f>'24MS_Data'!Q5-MTOM_Data!Q5</f>
        <v>30.615641358009135</v>
      </c>
      <c r="R5" s="12">
        <f>'24MS_Data'!R5-MTOM_Data!R5</f>
        <v>0</v>
      </c>
      <c r="S5" s="11">
        <f>'24MS_Data'!S5-MTOM_Data!S5</f>
        <v>-3.4066457020990129</v>
      </c>
      <c r="T5" s="11">
        <f>'24MS_Data'!T5-MTOM_Data!T5</f>
        <v>-755.67417580559754</v>
      </c>
      <c r="U5" s="11">
        <f>'24MS_Data'!U5-MTOM_Data!U5</f>
        <v>0</v>
      </c>
      <c r="V5" s="10">
        <f>'24MS_Data'!V5-MTOM_Data!V5</f>
        <v>-24.769805479002571</v>
      </c>
      <c r="W5" s="11">
        <f>'24MS_Data'!W5-MTOM_Data!W5</f>
        <v>0</v>
      </c>
      <c r="X5" s="12">
        <f>'24MS_Data'!X5-MTOM_Data!X5</f>
        <v>14.605371969999025</v>
      </c>
      <c r="Y5" s="11">
        <f>'24MS_Data'!Y5-MTOM_Data!Y5</f>
        <v>2.0288352034131094</v>
      </c>
      <c r="Z5" s="11">
        <f>'24MS_Data'!Z5-MTOM_Data!Z5</f>
        <v>14.605371969916632</v>
      </c>
      <c r="AA5" s="11">
        <f>'24MS_Data'!AA5-MTOM_Data!AA5</f>
        <v>0</v>
      </c>
      <c r="AB5" s="11">
        <f>'24MS_Data'!AB5-MTOM_Data!AB5</f>
        <v>2.0793388429752468</v>
      </c>
      <c r="AC5" s="11">
        <f>'24MS_Data'!AC5-MTOM_Data!AC5</f>
        <v>0</v>
      </c>
      <c r="AD5" s="10">
        <f>'24MS_Data'!AD5-MTOM_Data!AD5</f>
        <v>0.79194366797901239</v>
      </c>
      <c r="AE5" s="11">
        <f>'24MS_Data'!AE5-MTOM_Data!AE5</f>
        <v>73.382545607619249</v>
      </c>
      <c r="AF5" s="11">
        <f>'24MS_Data'!AF5-MTOM_Data!AF5</f>
        <v>22.055891008288256</v>
      </c>
      <c r="AG5" s="11">
        <f>'24MS_Data'!AG5-MTOM_Data!AG5</f>
        <v>0</v>
      </c>
      <c r="AH5" s="11">
        <f>'24MS_Data'!AH5-MTOM_Data!AH5</f>
        <v>0.14117525649686513</v>
      </c>
      <c r="AI5" s="11">
        <f>'24MS_Data'!AI5-MTOM_Data!AI5</f>
        <v>-1.4244960766518489E-10</v>
      </c>
      <c r="AJ5" s="12">
        <f>'24MS_Data'!AJ5-MTOM_Data!AJ5</f>
        <v>0</v>
      </c>
      <c r="AK5" s="11">
        <f>'24MS_Data'!AK5-MTOM_Data!AK5</f>
        <v>2.8280840069783153E-6</v>
      </c>
      <c r="AL5" s="11">
        <f>'24MS_Data'!AL5-MTOM_Data!AL5</f>
        <v>0</v>
      </c>
      <c r="AM5" s="11">
        <f>'24MS_Data'!AM5-MTOM_Data!AM5</f>
        <v>1.4724938940000243</v>
      </c>
      <c r="AN5" s="10">
        <f>'24MS_Data'!AN5-MTOM_Data!AN5</f>
        <v>0</v>
      </c>
      <c r="AO5" s="11">
        <f>'24MS_Data'!AO5-MTOM_Data!AO5</f>
        <v>0</v>
      </c>
      <c r="AP5" s="12">
        <f>'24MS_Data'!AP5-MTOM_Data!AP5</f>
        <v>0</v>
      </c>
      <c r="AQ5" s="11">
        <f>'24MS_Data'!AQ5-MTOM_Data!AQ5</f>
        <v>0</v>
      </c>
      <c r="AR5" s="11">
        <f>'24MS_Data'!AR5-MTOM_Data!AR5</f>
        <v>-2.3885630071163177E-5</v>
      </c>
      <c r="AS5" s="11">
        <f>'24MS_Data'!AS5-MTOM_Data!AS5</f>
        <v>-1.5000005078036338E-6</v>
      </c>
      <c r="AT5" s="13">
        <f>'24MS_Data'!AT5-MTOM_Data!AT5</f>
        <v>0</v>
      </c>
      <c r="AU5" s="11">
        <f>'24MS_Data'!AU5-MTOM_Data!AU5</f>
        <v>0</v>
      </c>
      <c r="AV5" s="13">
        <f>'24MS_Data'!AV5-MTOM_Data!AV5</f>
        <v>0</v>
      </c>
    </row>
    <row r="6" spans="1:48" x14ac:dyDescent="0.25">
      <c r="A6" s="49">
        <f t="shared" ref="A6:A35" si="0">EOMONTH(A5,1)</f>
        <v>44165</v>
      </c>
      <c r="B6" s="10">
        <f>'24MS_Data'!B6-MTOM_Data!B6</f>
        <v>-0.23333562992047518</v>
      </c>
      <c r="C6" s="11">
        <f>'24MS_Data'!C6-MTOM_Data!C6</f>
        <v>0</v>
      </c>
      <c r="D6" s="11">
        <f>'24MS_Data'!D6-MTOM_Data!D6</f>
        <v>-0.31176333314092375</v>
      </c>
      <c r="E6" s="11">
        <f>'24MS_Data'!E6-MTOM_Data!E6</f>
        <v>0</v>
      </c>
      <c r="F6" s="10">
        <f>'24MS_Data'!F6-MTOM_Data!F6</f>
        <v>0.56020308399001806</v>
      </c>
      <c r="G6" s="11">
        <f>'24MS_Data'!G6-MTOM_Data!G6</f>
        <v>-0.31176333308694382</v>
      </c>
      <c r="H6" s="11">
        <f>'24MS_Data'!H6-MTOM_Data!H6</f>
        <v>0</v>
      </c>
      <c r="I6" s="11">
        <f>'24MS_Data'!I6-MTOM_Data!I6</f>
        <v>-47.707829090181662</v>
      </c>
      <c r="J6" s="12">
        <f>'24MS_Data'!J6-MTOM_Data!J6</f>
        <v>0</v>
      </c>
      <c r="K6" s="11">
        <f>'24MS_Data'!K6-MTOM_Data!K6</f>
        <v>-5.2686588582673721</v>
      </c>
      <c r="L6" s="11">
        <f>'24MS_Data'!L6-MTOM_Data!L6</f>
        <v>0</v>
      </c>
      <c r="M6" s="11">
        <f>'24MS_Data'!M6-MTOM_Data!M6</f>
        <v>0.58719008264462857</v>
      </c>
      <c r="N6" s="10">
        <f>'24MS_Data'!N6-MTOM_Data!N6</f>
        <v>-3.2732883202097582</v>
      </c>
      <c r="O6" s="11">
        <f>'24MS_Data'!O6-MTOM_Data!O6</f>
        <v>0.58719008258578853</v>
      </c>
      <c r="P6" s="11">
        <f>'24MS_Data'!P6-MTOM_Data!P6</f>
        <v>0</v>
      </c>
      <c r="Q6" s="11">
        <f>'24MS_Data'!Q6-MTOM_Data!Q6</f>
        <v>1.9677493603849552</v>
      </c>
      <c r="R6" s="12">
        <f>'24MS_Data'!R6-MTOM_Data!R6</f>
        <v>0</v>
      </c>
      <c r="S6" s="11">
        <f>'24MS_Data'!S6-MTOM_Data!S6</f>
        <v>-3.4056812335957147</v>
      </c>
      <c r="T6" s="11">
        <f>'24MS_Data'!T6-MTOM_Data!T6</f>
        <v>-338.14632366531976</v>
      </c>
      <c r="U6" s="11">
        <f>'24MS_Data'!U6-MTOM_Data!U6</f>
        <v>0</v>
      </c>
      <c r="V6" s="10">
        <f>'24MS_Data'!V6-MTOM_Data!V6</f>
        <v>-23.893313812335691</v>
      </c>
      <c r="W6" s="11">
        <f>'24MS_Data'!W6-MTOM_Data!W6</f>
        <v>0</v>
      </c>
      <c r="X6" s="12">
        <f>'24MS_Data'!X6-MTOM_Data!X6</f>
        <v>0.69487609999904931</v>
      </c>
      <c r="Y6" s="11">
        <f>'24MS_Data'!Y6-MTOM_Data!Y6</f>
        <v>2.0904141076125597</v>
      </c>
      <c r="Z6" s="11">
        <f>'24MS_Data'!Z6-MTOM_Data!Z6</f>
        <v>0.69487610003099221</v>
      </c>
      <c r="AA6" s="11">
        <f>'24MS_Data'!AA6-MTOM_Data!AA6</f>
        <v>0</v>
      </c>
      <c r="AB6" s="11">
        <f>'24MS_Data'!AB6-MTOM_Data!AB6</f>
        <v>3.5537190083090309E-3</v>
      </c>
      <c r="AC6" s="11">
        <f>'24MS_Data'!AC6-MTOM_Data!AC6</f>
        <v>0</v>
      </c>
      <c r="AD6" s="10">
        <f>'24MS_Data'!AD6-MTOM_Data!AD6</f>
        <v>0.33924829396346468</v>
      </c>
      <c r="AE6" s="11">
        <f>'24MS_Data'!AE6-MTOM_Data!AE6</f>
        <v>30.960614204041121</v>
      </c>
      <c r="AF6" s="11">
        <f>'24MS_Data'!AF6-MTOM_Data!AF6</f>
        <v>-45.70493652840355</v>
      </c>
      <c r="AG6" s="11">
        <f>'24MS_Data'!AG6-MTOM_Data!AG6</f>
        <v>0</v>
      </c>
      <c r="AH6" s="11">
        <f>'24MS_Data'!AH6-MTOM_Data!AH6</f>
        <v>0.11074828744264664</v>
      </c>
      <c r="AI6" s="11">
        <f>'24MS_Data'!AI6-MTOM_Data!AI6</f>
        <v>8.4298790170578286E-10</v>
      </c>
      <c r="AJ6" s="12">
        <f>'24MS_Data'!AJ6-MTOM_Data!AJ6</f>
        <v>0</v>
      </c>
      <c r="AK6" s="11">
        <f>'24MS_Data'!AK6-MTOM_Data!AK6</f>
        <v>2.8313647817412857E-6</v>
      </c>
      <c r="AL6" s="11">
        <f>'24MS_Data'!AL6-MTOM_Data!AL6</f>
        <v>-2.5216490030288696E-5</v>
      </c>
      <c r="AM6" s="11">
        <f>'24MS_Data'!AM6-MTOM_Data!AM6</f>
        <v>1.577677848999997</v>
      </c>
      <c r="AN6" s="10">
        <f>'24MS_Data'!AN6-MTOM_Data!AN6</f>
        <v>0</v>
      </c>
      <c r="AO6" s="11">
        <f>'24MS_Data'!AO6-MTOM_Data!AO6</f>
        <v>-2.5216373614966869E-5</v>
      </c>
      <c r="AP6" s="12">
        <f>'24MS_Data'!AP6-MTOM_Data!AP6</f>
        <v>-2.9000091217312729E-9</v>
      </c>
      <c r="AQ6" s="11">
        <f>'24MS_Data'!AQ6-MTOM_Data!AQ6</f>
        <v>0</v>
      </c>
      <c r="AR6" s="11">
        <f>'24MS_Data'!AR6-MTOM_Data!AR6</f>
        <v>0</v>
      </c>
      <c r="AS6" s="11">
        <f>'24MS_Data'!AS6-MTOM_Data!AS6</f>
        <v>9.9997123470529914E-8</v>
      </c>
      <c r="AT6" s="13">
        <f>'24MS_Data'!AT6-MTOM_Data!AT6</f>
        <v>0</v>
      </c>
      <c r="AU6" s="11">
        <f>'24MS_Data'!AU6-MTOM_Data!AU6</f>
        <v>0</v>
      </c>
      <c r="AV6" s="13">
        <f>'24MS_Data'!AV6-MTOM_Data!AV6</f>
        <v>0</v>
      </c>
    </row>
    <row r="7" spans="1:48" x14ac:dyDescent="0.25">
      <c r="A7" s="49">
        <f t="shared" si="0"/>
        <v>44196</v>
      </c>
      <c r="B7" s="10">
        <f>'24MS_Data'!B7-MTOM_Data!B7</f>
        <v>-0.10179406167935667</v>
      </c>
      <c r="C7" s="11">
        <f>'24MS_Data'!C7-MTOM_Data!C7</f>
        <v>0</v>
      </c>
      <c r="D7" s="11">
        <f>'24MS_Data'!D7-MTOM_Data!D7</f>
        <v>-0.3251554442455884</v>
      </c>
      <c r="E7" s="11">
        <f>'24MS_Data'!E7-MTOM_Data!E7</f>
        <v>0</v>
      </c>
      <c r="F7" s="10">
        <f>'24MS_Data'!F7-MTOM_Data!F7</f>
        <v>1.4873751312334207</v>
      </c>
      <c r="G7" s="11">
        <f>'24MS_Data'!G7-MTOM_Data!G7</f>
        <v>-0.32515544423391418</v>
      </c>
      <c r="H7" s="11">
        <f>'24MS_Data'!H7-MTOM_Data!H7</f>
        <v>0</v>
      </c>
      <c r="I7" s="11">
        <f>'24MS_Data'!I7-MTOM_Data!I7</f>
        <v>-35.864896786092572</v>
      </c>
      <c r="J7" s="12">
        <f>'24MS_Data'!J7-MTOM_Data!J7</f>
        <v>0</v>
      </c>
      <c r="K7" s="11">
        <f>'24MS_Data'!K7-MTOM_Data!K7</f>
        <v>-5.769775426508204</v>
      </c>
      <c r="L7" s="11">
        <f>'24MS_Data'!L7-MTOM_Data!L7</f>
        <v>0</v>
      </c>
      <c r="M7" s="11">
        <f>'24MS_Data'!M7-MTOM_Data!M7</f>
        <v>0.58842975206612103</v>
      </c>
      <c r="N7" s="10">
        <f>'24MS_Data'!N7-MTOM_Data!N7</f>
        <v>-3.5260100065606821</v>
      </c>
      <c r="O7" s="11">
        <f>'24MS_Data'!O7-MTOM_Data!O7</f>
        <v>0.58842975214597004</v>
      </c>
      <c r="P7" s="11">
        <f>'24MS_Data'!P7-MTOM_Data!P7</f>
        <v>0</v>
      </c>
      <c r="Q7" s="11">
        <f>'24MS_Data'!Q7-MTOM_Data!Q7</f>
        <v>2.4335457564859979</v>
      </c>
      <c r="R7" s="12">
        <f>'24MS_Data'!R7-MTOM_Data!R7</f>
        <v>0</v>
      </c>
      <c r="S7" s="11">
        <f>'24MS_Data'!S7-MTOM_Data!S7</f>
        <v>-3.4066457020990129</v>
      </c>
      <c r="T7" s="11">
        <f>'24MS_Data'!T7-MTOM_Data!T7</f>
        <v>-326.01500575548727</v>
      </c>
      <c r="U7" s="11">
        <f>'24MS_Data'!U7-MTOM_Data!U7</f>
        <v>0</v>
      </c>
      <c r="V7" s="10">
        <f>'24MS_Data'!V7-MTOM_Data!V7</f>
        <v>-22.965877624671521</v>
      </c>
      <c r="W7" s="11">
        <f>'24MS_Data'!W7-MTOM_Data!W7</f>
        <v>0</v>
      </c>
      <c r="X7" s="12">
        <f>'24MS_Data'!X7-MTOM_Data!X7</f>
        <v>-4.6280300009833297E-3</v>
      </c>
      <c r="Y7" s="11">
        <f>'24MS_Data'!Y7-MTOM_Data!Y7</f>
        <v>2.0991036417326541</v>
      </c>
      <c r="Z7" s="11">
        <f>'24MS_Data'!Z7-MTOM_Data!Z7</f>
        <v>-4.628030014151463E-3</v>
      </c>
      <c r="AA7" s="11">
        <f>'24MS_Data'!AA7-MTOM_Data!AA7</f>
        <v>0</v>
      </c>
      <c r="AB7" s="11">
        <f>'24MS_Data'!AB7-MTOM_Data!AB7</f>
        <v>-6.6115702479407901E-4</v>
      </c>
      <c r="AC7" s="11">
        <f>'24MS_Data'!AC7-MTOM_Data!AC7</f>
        <v>0</v>
      </c>
      <c r="AD7" s="10">
        <f>'24MS_Data'!AD7-MTOM_Data!AD7</f>
        <v>3.8910761304578045E-5</v>
      </c>
      <c r="AE7" s="11">
        <f>'24MS_Data'!AE7-MTOM_Data!AE7</f>
        <v>4.6175791358109564E-3</v>
      </c>
      <c r="AF7" s="11">
        <f>'24MS_Data'!AF7-MTOM_Data!AF7</f>
        <v>-33.405933518436996</v>
      </c>
      <c r="AG7" s="11">
        <f>'24MS_Data'!AG7-MTOM_Data!AG7</f>
        <v>0</v>
      </c>
      <c r="AH7" s="11">
        <f>'24MS_Data'!AH7-MTOM_Data!AH7</f>
        <v>2.6551769311105033E-2</v>
      </c>
      <c r="AI7" s="11">
        <f>'24MS_Data'!AI7-MTOM_Data!AI7</f>
        <v>-6.9667294155806303E-10</v>
      </c>
      <c r="AJ7" s="12">
        <f>'24MS_Data'!AJ7-MTOM_Data!AJ7</f>
        <v>0</v>
      </c>
      <c r="AK7" s="11">
        <f>'24MS_Data'!AK7-MTOM_Data!AK7</f>
        <v>2.7854332529386738E-6</v>
      </c>
      <c r="AL7" s="11">
        <f>'24MS_Data'!AL7-MTOM_Data!AL7</f>
        <v>0</v>
      </c>
      <c r="AM7" s="11">
        <f>'24MS_Data'!AM7-MTOM_Data!AM7</f>
        <v>1.9047369900000035</v>
      </c>
      <c r="AN7" s="10">
        <f>'24MS_Data'!AN7-MTOM_Data!AN7</f>
        <v>0</v>
      </c>
      <c r="AO7" s="11">
        <f>'24MS_Data'!AO7-MTOM_Data!AO7</f>
        <v>0</v>
      </c>
      <c r="AP7" s="12">
        <f>'24MS_Data'!AP7-MTOM_Data!AP7</f>
        <v>0</v>
      </c>
      <c r="AQ7" s="11">
        <f>'24MS_Data'!AQ7-MTOM_Data!AQ7</f>
        <v>0</v>
      </c>
      <c r="AR7" s="11">
        <f>'24MS_Data'!AR7-MTOM_Data!AR7</f>
        <v>0</v>
      </c>
      <c r="AS7" s="11">
        <f>'24MS_Data'!AS7-MTOM_Data!AS7</f>
        <v>0</v>
      </c>
      <c r="AT7" s="13">
        <f>'24MS_Data'!AT7-MTOM_Data!AT7</f>
        <v>0</v>
      </c>
      <c r="AU7" s="11">
        <f>'24MS_Data'!AU7-MTOM_Data!AU7</f>
        <v>0</v>
      </c>
      <c r="AV7" s="13">
        <f>'24MS_Data'!AV7-MTOM_Data!AV7</f>
        <v>0</v>
      </c>
    </row>
    <row r="8" spans="1:48" x14ac:dyDescent="0.25">
      <c r="A8" s="49">
        <f t="shared" si="0"/>
        <v>44227</v>
      </c>
      <c r="B8" s="10">
        <f>'24MS_Data'!B8-MTOM_Data!B8</f>
        <v>-3.2439960629744746E-2</v>
      </c>
      <c r="C8" s="11">
        <f>'24MS_Data'!C8-MTOM_Data!C8</f>
        <v>0</v>
      </c>
      <c r="D8" s="11">
        <f>'24MS_Data'!D8-MTOM_Data!D8</f>
        <v>-0.3251554442455884</v>
      </c>
      <c r="E8" s="11">
        <f>'24MS_Data'!E8-MTOM_Data!E8</f>
        <v>0</v>
      </c>
      <c r="F8" s="10">
        <f>'24MS_Data'!F8-MTOM_Data!F8</f>
        <v>1.4497092847768727</v>
      </c>
      <c r="G8" s="11">
        <f>'24MS_Data'!G8-MTOM_Data!G8</f>
        <v>-0.32515544423392839</v>
      </c>
      <c r="H8" s="11">
        <f>'24MS_Data'!H8-MTOM_Data!H8</f>
        <v>0</v>
      </c>
      <c r="I8" s="11">
        <f>'24MS_Data'!I8-MTOM_Data!I8</f>
        <v>1.0903662959717764</v>
      </c>
      <c r="J8" s="12">
        <f>'24MS_Data'!J8-MTOM_Data!J8</f>
        <v>0</v>
      </c>
      <c r="K8" s="11">
        <f>'24MS_Data'!K8-MTOM_Data!K8</f>
        <v>-6.2915214238837507</v>
      </c>
      <c r="L8" s="11">
        <f>'24MS_Data'!L8-MTOM_Data!L8</f>
        <v>0</v>
      </c>
      <c r="M8" s="11">
        <f>'24MS_Data'!M8-MTOM_Data!M8</f>
        <v>0.58842975206612103</v>
      </c>
      <c r="N8" s="10">
        <f>'24MS_Data'!N8-MTOM_Data!N8</f>
        <v>-2.0036853674546364</v>
      </c>
      <c r="O8" s="11">
        <f>'24MS_Data'!O8-MTOM_Data!O8</f>
        <v>0.58842975205910975</v>
      </c>
      <c r="P8" s="11">
        <f>'24MS_Data'!P8-MTOM_Data!P8</f>
        <v>0</v>
      </c>
      <c r="Q8" s="11">
        <f>'24MS_Data'!Q8-MTOM_Data!Q8</f>
        <v>-9.6070088900540611</v>
      </c>
      <c r="R8" s="12">
        <f>'24MS_Data'!R8-MTOM_Data!R8</f>
        <v>0</v>
      </c>
      <c r="S8" s="11">
        <f>'24MS_Data'!S8-MTOM_Data!S8</f>
        <v>-3.4066457020990129</v>
      </c>
      <c r="T8" s="11">
        <f>'24MS_Data'!T8-MTOM_Data!T8</f>
        <v>-521.85297596530245</v>
      </c>
      <c r="U8" s="11">
        <f>'24MS_Data'!U8-MTOM_Data!U8</f>
        <v>0</v>
      </c>
      <c r="V8" s="10">
        <f>'24MS_Data'!V8-MTOM_Data!V8</f>
        <v>-22.416625853017649</v>
      </c>
      <c r="W8" s="11">
        <f>'24MS_Data'!W8-MTOM_Data!W8</f>
        <v>0</v>
      </c>
      <c r="X8" s="12">
        <f>'24MS_Data'!X8-MTOM_Data!X8</f>
        <v>-4.6280300009833297E-3</v>
      </c>
      <c r="Y8" s="11">
        <f>'24MS_Data'!Y8-MTOM_Data!Y8</f>
        <v>2.1094889435689765</v>
      </c>
      <c r="Z8" s="11">
        <f>'24MS_Data'!Z8-MTOM_Data!Z8</f>
        <v>-4.6280299924355006E-3</v>
      </c>
      <c r="AA8" s="11">
        <f>'24MS_Data'!AA8-MTOM_Data!AA8</f>
        <v>0</v>
      </c>
      <c r="AB8" s="11">
        <f>'24MS_Data'!AB8-MTOM_Data!AB8</f>
        <v>-6.6115702479407901E-4</v>
      </c>
      <c r="AC8" s="11">
        <f>'24MS_Data'!AC8-MTOM_Data!AC8</f>
        <v>0</v>
      </c>
      <c r="AD8" s="10">
        <f>'24MS_Data'!AD8-MTOM_Data!AD8</f>
        <v>-9.0635728346114774E-2</v>
      </c>
      <c r="AE8" s="11">
        <f>'24MS_Data'!AE8-MTOM_Data!AE8</f>
        <v>-7.856345269961821</v>
      </c>
      <c r="AF8" s="11">
        <f>'24MS_Data'!AF8-MTOM_Data!AF8</f>
        <v>-8.4922778623205204</v>
      </c>
      <c r="AG8" s="11">
        <f>'24MS_Data'!AG8-MTOM_Data!AG8</f>
        <v>0</v>
      </c>
      <c r="AH8" s="11">
        <f>'24MS_Data'!AH8-MTOM_Data!AH8</f>
        <v>-2.4380612007881552E-3</v>
      </c>
      <c r="AI8" s="11">
        <f>'24MS_Data'!AI8-MTOM_Data!AI8</f>
        <v>4.9351456254953519E-10</v>
      </c>
      <c r="AJ8" s="12">
        <f>'24MS_Data'!AJ8-MTOM_Data!AJ8</f>
        <v>0</v>
      </c>
      <c r="AK8" s="11">
        <f>'24MS_Data'!AK8-MTOM_Data!AK8</f>
        <v>2.7296589450997999E-6</v>
      </c>
      <c r="AL8" s="11">
        <f>'24MS_Data'!AL8-MTOM_Data!AL8</f>
        <v>-4.3428153730928898E-6</v>
      </c>
      <c r="AM8" s="11">
        <f>'24MS_Data'!AM8-MTOM_Data!AM8</f>
        <v>1.78753144800001</v>
      </c>
      <c r="AN8" s="10">
        <f>'24MS_Data'!AN8-MTOM_Data!AN8</f>
        <v>0</v>
      </c>
      <c r="AO8" s="11">
        <f>'24MS_Data'!AO8-MTOM_Data!AO8</f>
        <v>-4.3428153730928898E-6</v>
      </c>
      <c r="AP8" s="12">
        <f>'24MS_Data'!AP8-MTOM_Data!AP8</f>
        <v>-6.000036023579014E-10</v>
      </c>
      <c r="AQ8" s="11">
        <f>'24MS_Data'!AQ8-MTOM_Data!AQ8</f>
        <v>0</v>
      </c>
      <c r="AR8" s="11">
        <f>'24MS_Data'!AR8-MTOM_Data!AR8</f>
        <v>-4.3428153730928898E-6</v>
      </c>
      <c r="AS8" s="11">
        <f>'24MS_Data'!AS8-MTOM_Data!AS8</f>
        <v>-3.0000046535860747E-7</v>
      </c>
      <c r="AT8" s="13">
        <f>'24MS_Data'!AT8-MTOM_Data!AT8</f>
        <v>0</v>
      </c>
      <c r="AU8" s="11">
        <f>'24MS_Data'!AU8-MTOM_Data!AU8</f>
        <v>0</v>
      </c>
      <c r="AV8" s="13">
        <f>'24MS_Data'!AV8-MTOM_Data!AV8</f>
        <v>0</v>
      </c>
    </row>
    <row r="9" spans="1:48" x14ac:dyDescent="0.25">
      <c r="A9" s="49">
        <f t="shared" si="0"/>
        <v>44255</v>
      </c>
      <c r="B9" s="10">
        <f>'24MS_Data'!B9-MTOM_Data!B9</f>
        <v>8.9607283462100895E-3</v>
      </c>
      <c r="C9" s="11">
        <f>'24MS_Data'!C9-MTOM_Data!C9</f>
        <v>0</v>
      </c>
      <c r="D9" s="11">
        <f>'24MS_Data'!D9-MTOM_Data!D9</f>
        <v>-0.28497911093131023</v>
      </c>
      <c r="E9" s="11">
        <f>'24MS_Data'!E9-MTOM_Data!E9</f>
        <v>0</v>
      </c>
      <c r="F9" s="10">
        <f>'24MS_Data'!F9-MTOM_Data!F9</f>
        <v>1.5772456692911874</v>
      </c>
      <c r="G9" s="11">
        <f>'24MS_Data'!G9-MTOM_Data!G9</f>
        <v>-0.28497911097504414</v>
      </c>
      <c r="H9" s="11">
        <f>'24MS_Data'!H9-MTOM_Data!H9</f>
        <v>0</v>
      </c>
      <c r="I9" s="11">
        <f>'24MS_Data'!I9-MTOM_Data!I9</f>
        <v>-5.2383451195625241</v>
      </c>
      <c r="J9" s="12">
        <f>'24MS_Data'!J9-MTOM_Data!J9</f>
        <v>0</v>
      </c>
      <c r="K9" s="11">
        <f>'24MS_Data'!K9-MTOM_Data!K9</f>
        <v>-6.7977626968495315</v>
      </c>
      <c r="L9" s="11">
        <f>'24MS_Data'!L9-MTOM_Data!L9</f>
        <v>0</v>
      </c>
      <c r="M9" s="11">
        <f>'24MS_Data'!M9-MTOM_Data!M9</f>
        <v>0.53471074380165629</v>
      </c>
      <c r="N9" s="10">
        <f>'24MS_Data'!N9-MTOM_Data!N9</f>
        <v>-0.76645524934428977</v>
      </c>
      <c r="O9" s="11">
        <f>'24MS_Data'!O9-MTOM_Data!O9</f>
        <v>0.53471074378763817</v>
      </c>
      <c r="P9" s="11">
        <f>'24MS_Data'!P9-MTOM_Data!P9</f>
        <v>0</v>
      </c>
      <c r="Q9" s="11">
        <f>'24MS_Data'!Q9-MTOM_Data!Q9</f>
        <v>-7.6815679493122957</v>
      </c>
      <c r="R9" s="12">
        <f>'24MS_Data'!R9-MTOM_Data!R9</f>
        <v>0</v>
      </c>
      <c r="S9" s="11">
        <f>'24MS_Data'!S9-MTOM_Data!S9</f>
        <v>-3.4039451443568396</v>
      </c>
      <c r="T9" s="11">
        <f>'24MS_Data'!T9-MTOM_Data!T9</f>
        <v>-506.16707251862198</v>
      </c>
      <c r="U9" s="11">
        <f>'24MS_Data'!U9-MTOM_Data!U9</f>
        <v>0</v>
      </c>
      <c r="V9" s="10">
        <f>'24MS_Data'!V9-MTOM_Data!V9</f>
        <v>-21.879452329397282</v>
      </c>
      <c r="W9" s="11">
        <f>'24MS_Data'!W9-MTOM_Data!W9</f>
        <v>0</v>
      </c>
      <c r="X9" s="12">
        <f>'24MS_Data'!X9-MTOM_Data!X9</f>
        <v>3.884359999113185E-3</v>
      </c>
      <c r="Y9" s="11">
        <f>'24MS_Data'!Y9-MTOM_Data!Y9</f>
        <v>2.1115266076112675</v>
      </c>
      <c r="Z9" s="11">
        <f>'24MS_Data'!Z9-MTOM_Data!Z9</f>
        <v>3.8843599974320853E-3</v>
      </c>
      <c r="AA9" s="11">
        <f>'24MS_Data'!AA9-MTOM_Data!AA9</f>
        <v>0</v>
      </c>
      <c r="AB9" s="11">
        <f>'24MS_Data'!AB9-MTOM_Data!AB9</f>
        <v>1.9834710744142114E-3</v>
      </c>
      <c r="AC9" s="11">
        <f>'24MS_Data'!AC9-MTOM_Data!AC9</f>
        <v>0</v>
      </c>
      <c r="AD9" s="10">
        <f>'24MS_Data'!AD9-MTOM_Data!AD9</f>
        <v>-0.23435774278232202</v>
      </c>
      <c r="AE9" s="11">
        <f>'24MS_Data'!AE9-MTOM_Data!AE9</f>
        <v>-19.782997979538777</v>
      </c>
      <c r="AF9" s="11">
        <f>'24MS_Data'!AF9-MTOM_Data!AF9</f>
        <v>-12.890411650462795</v>
      </c>
      <c r="AG9" s="11">
        <f>'24MS_Data'!AG9-MTOM_Data!AG9</f>
        <v>0</v>
      </c>
      <c r="AH9" s="11">
        <f>'24MS_Data'!AH9-MTOM_Data!AH9</f>
        <v>-9.6267009927020197E-3</v>
      </c>
      <c r="AI9" s="11">
        <f>'24MS_Data'!AI9-MTOM_Data!AI9</f>
        <v>-5.5979398894123733E-10</v>
      </c>
      <c r="AJ9" s="12">
        <f>'24MS_Data'!AJ9-MTOM_Data!AJ9</f>
        <v>0</v>
      </c>
      <c r="AK9" s="11">
        <f>'24MS_Data'!AK9-MTOM_Data!AK9</f>
        <v>2.6968505153490696E-6</v>
      </c>
      <c r="AL9" s="11">
        <f>'24MS_Data'!AL9-MTOM_Data!AL9</f>
        <v>0</v>
      </c>
      <c r="AM9" s="11">
        <f>'24MS_Data'!AM9-MTOM_Data!AM9</f>
        <v>1.4733067660000074</v>
      </c>
      <c r="AN9" s="10">
        <f>'24MS_Data'!AN9-MTOM_Data!AN9</f>
        <v>0</v>
      </c>
      <c r="AO9" s="11">
        <f>'24MS_Data'!AO9-MTOM_Data!AO9</f>
        <v>0</v>
      </c>
      <c r="AP9" s="12">
        <f>'24MS_Data'!AP9-MTOM_Data!AP9</f>
        <v>0</v>
      </c>
      <c r="AQ9" s="11">
        <f>'24MS_Data'!AQ9-MTOM_Data!AQ9</f>
        <v>0</v>
      </c>
      <c r="AR9" s="11">
        <f>'24MS_Data'!AR9-MTOM_Data!AR9</f>
        <v>0</v>
      </c>
      <c r="AS9" s="11">
        <f>'24MS_Data'!AS9-MTOM_Data!AS9</f>
        <v>0</v>
      </c>
      <c r="AT9" s="13">
        <f>'24MS_Data'!AT9-MTOM_Data!AT9</f>
        <v>0</v>
      </c>
      <c r="AU9" s="11">
        <f>'24MS_Data'!AU9-MTOM_Data!AU9</f>
        <v>0</v>
      </c>
      <c r="AV9" s="13">
        <f>'24MS_Data'!AV9-MTOM_Data!AV9</f>
        <v>0</v>
      </c>
    </row>
    <row r="10" spans="1:48" x14ac:dyDescent="0.25">
      <c r="A10" s="49">
        <f t="shared" si="0"/>
        <v>44286</v>
      </c>
      <c r="B10" s="10">
        <f>'24MS_Data'!B10-MTOM_Data!B10</f>
        <v>0.23521519028872717</v>
      </c>
      <c r="C10" s="11">
        <f>'24MS_Data'!C10-MTOM_Data!C10</f>
        <v>0</v>
      </c>
      <c r="D10" s="11">
        <f>'24MS_Data'!D10-MTOM_Data!D10</f>
        <v>-0.86515544424521096</v>
      </c>
      <c r="E10" s="11">
        <f>'24MS_Data'!E10-MTOM_Data!E10</f>
        <v>0</v>
      </c>
      <c r="F10" s="10">
        <f>'24MS_Data'!F10-MTOM_Data!F10</f>
        <v>1.0613706692911364</v>
      </c>
      <c r="G10" s="11">
        <f>'24MS_Data'!G10-MTOM_Data!G10</f>
        <v>-0.86515544435495428</v>
      </c>
      <c r="H10" s="11">
        <f>'24MS_Data'!H10-MTOM_Data!H10</f>
        <v>0</v>
      </c>
      <c r="I10" s="11">
        <f>'24MS_Data'!I10-MTOM_Data!I10</f>
        <v>18.688129548605829</v>
      </c>
      <c r="J10" s="12">
        <f>'24MS_Data'!J10-MTOM_Data!J10</f>
        <v>0</v>
      </c>
      <c r="K10" s="11">
        <f>'24MS_Data'!K10-MTOM_Data!K10</f>
        <v>-7.417214041994157</v>
      </c>
      <c r="L10" s="11">
        <f>'24MS_Data'!L10-MTOM_Data!L10</f>
        <v>0</v>
      </c>
      <c r="M10" s="11">
        <f>'24MS_Data'!M10-MTOM_Data!M10</f>
        <v>0.58842975206612103</v>
      </c>
      <c r="N10" s="10">
        <f>'24MS_Data'!N10-MTOM_Data!N10</f>
        <v>-1.02455216535418</v>
      </c>
      <c r="O10" s="11">
        <f>'24MS_Data'!O10-MTOM_Data!O10</f>
        <v>0.58842975214596294</v>
      </c>
      <c r="P10" s="11">
        <f>'24MS_Data'!P10-MTOM_Data!P10</f>
        <v>0</v>
      </c>
      <c r="Q10" s="11">
        <f>'24MS_Data'!Q10-MTOM_Data!Q10</f>
        <v>2.396258437605173</v>
      </c>
      <c r="R10" s="12">
        <f>'24MS_Data'!R10-MTOM_Data!R10</f>
        <v>2.3962584376104843</v>
      </c>
      <c r="S10" s="11">
        <f>'24MS_Data'!S10-MTOM_Data!S10</f>
        <v>-3.4066457020990129</v>
      </c>
      <c r="T10" s="11">
        <f>'24MS_Data'!T10-MTOM_Data!T10</f>
        <v>-402.32377679990907</v>
      </c>
      <c r="U10" s="11">
        <f>'24MS_Data'!U10-MTOM_Data!U10</f>
        <v>0</v>
      </c>
      <c r="V10" s="10">
        <f>'24MS_Data'!V10-MTOM_Data!V10</f>
        <v>-21.234516338583489</v>
      </c>
      <c r="W10" s="11">
        <f>'24MS_Data'!W10-MTOM_Data!W10</f>
        <v>0</v>
      </c>
      <c r="X10" s="12">
        <f>'24MS_Data'!X10-MTOM_Data!X10</f>
        <v>-4.6280300009833297E-3</v>
      </c>
      <c r="Y10" s="11">
        <f>'24MS_Data'!Y10-MTOM_Data!Y10</f>
        <v>2.0748671587925855</v>
      </c>
      <c r="Z10" s="11">
        <f>'24MS_Data'!Z10-MTOM_Data!Z10</f>
        <v>-4.6280300141532393E-3</v>
      </c>
      <c r="AA10" s="11">
        <f>'24MS_Data'!AA10-MTOM_Data!AA10</f>
        <v>0</v>
      </c>
      <c r="AB10" s="11">
        <f>'24MS_Data'!AB10-MTOM_Data!AB10</f>
        <v>-6.6115702479407901E-4</v>
      </c>
      <c r="AC10" s="11">
        <f>'24MS_Data'!AC10-MTOM_Data!AC10</f>
        <v>0</v>
      </c>
      <c r="AD10" s="10">
        <f>'24MS_Data'!AD10-MTOM_Data!AD10</f>
        <v>-2.3805446194273827E-3</v>
      </c>
      <c r="AE10" s="11">
        <f>'24MS_Data'!AE10-MTOM_Data!AE10</f>
        <v>-0.19100378524308326</v>
      </c>
      <c r="AF10" s="11">
        <f>'24MS_Data'!AF10-MTOM_Data!AF10</f>
        <v>21.14760687393084</v>
      </c>
      <c r="AG10" s="11">
        <f>'24MS_Data'!AG10-MTOM_Data!AG10</f>
        <v>0</v>
      </c>
      <c r="AH10" s="11">
        <f>'24MS_Data'!AH10-MTOM_Data!AH10</f>
        <v>-1.174680004110229E-2</v>
      </c>
      <c r="AI10" s="11">
        <f>'24MS_Data'!AI10-MTOM_Data!AI10</f>
        <v>9.1404217528179288E-10</v>
      </c>
      <c r="AJ10" s="12">
        <f>'24MS_Data'!AJ10-MTOM_Data!AJ10</f>
        <v>0</v>
      </c>
      <c r="AK10" s="11">
        <f>'24MS_Data'!AK10-MTOM_Data!AK10</f>
        <v>2.7099738417746266E-6</v>
      </c>
      <c r="AL10" s="11">
        <f>'24MS_Data'!AL10-MTOM_Data!AL10</f>
        <v>2.1714949980378151E-6</v>
      </c>
      <c r="AM10" s="11">
        <f>'24MS_Data'!AM10-MTOM_Data!AM10</f>
        <v>1.1185153870000022</v>
      </c>
      <c r="AN10" s="10">
        <f>'24MS_Data'!AN10-MTOM_Data!AN10</f>
        <v>0</v>
      </c>
      <c r="AO10" s="11">
        <f>'24MS_Data'!AO10-MTOM_Data!AO10</f>
        <v>2.1714949980378151E-6</v>
      </c>
      <c r="AP10" s="12">
        <f>'24MS_Data'!AP10-MTOM_Data!AP10</f>
        <v>0</v>
      </c>
      <c r="AQ10" s="11">
        <f>'24MS_Data'!AQ10-MTOM_Data!AQ10</f>
        <v>0</v>
      </c>
      <c r="AR10" s="11">
        <f>'24MS_Data'!AR10-MTOM_Data!AR10</f>
        <v>2.1713785827159882E-6</v>
      </c>
      <c r="AS10" s="11">
        <f>'24MS_Data'!AS10-MTOM_Data!AS10</f>
        <v>0</v>
      </c>
      <c r="AT10" s="13">
        <f>'24MS_Data'!AT10-MTOM_Data!AT10</f>
        <v>0</v>
      </c>
      <c r="AU10" s="11">
        <f>'24MS_Data'!AU10-MTOM_Data!AU10</f>
        <v>0</v>
      </c>
      <c r="AV10" s="13">
        <f>'24MS_Data'!AV10-MTOM_Data!AV10</f>
        <v>0</v>
      </c>
    </row>
    <row r="11" spans="1:48" x14ac:dyDescent="0.25">
      <c r="A11" s="49">
        <f t="shared" si="0"/>
        <v>44316</v>
      </c>
      <c r="B11" s="10">
        <f>'24MS_Data'!B11-MTOM_Data!B11</f>
        <v>3.7294695866148686</v>
      </c>
      <c r="C11" s="11">
        <f>'24MS_Data'!C11-MTOM_Data!C11</f>
        <v>0</v>
      </c>
      <c r="D11" s="11">
        <f>'24MS_Data'!D11-MTOM_Data!D11</f>
        <v>-13.813761671029823</v>
      </c>
      <c r="E11" s="11">
        <f>'24MS_Data'!E11-MTOM_Data!E11</f>
        <v>0</v>
      </c>
      <c r="F11" s="10">
        <f>'24MS_Data'!F11-MTOM_Data!F11</f>
        <v>0.2343957021003007</v>
      </c>
      <c r="G11" s="11">
        <f>'24MS_Data'!G11-MTOM_Data!G11</f>
        <v>-13.81376167103646</v>
      </c>
      <c r="H11" s="11">
        <f>'24MS_Data'!H11-MTOM_Data!H11</f>
        <v>0</v>
      </c>
      <c r="I11" s="11">
        <f>'24MS_Data'!I11-MTOM_Data!I11</f>
        <v>18.091738272844481</v>
      </c>
      <c r="J11" s="12">
        <f>'24MS_Data'!J11-MTOM_Data!J11</f>
        <v>0</v>
      </c>
      <c r="K11" s="11">
        <f>'24MS_Data'!K11-MTOM_Data!K11</f>
        <v>-12.007156332021623</v>
      </c>
      <c r="L11" s="11">
        <f>'24MS_Data'!L11-MTOM_Data!L11</f>
        <v>0</v>
      </c>
      <c r="M11" s="11">
        <f>'24MS_Data'!M11-MTOM_Data!M11</f>
        <v>5.5371900826446456</v>
      </c>
      <c r="N11" s="10">
        <f>'24MS_Data'!N11-MTOM_Data!N11</f>
        <v>-5.677437663962337E-2</v>
      </c>
      <c r="O11" s="11">
        <f>'24MS_Data'!O11-MTOM_Data!O11</f>
        <v>5.5371900826446208</v>
      </c>
      <c r="P11" s="11">
        <f>'24MS_Data'!P11-MTOM_Data!P11</f>
        <v>0</v>
      </c>
      <c r="Q11" s="11">
        <f>'24MS_Data'!Q11-MTOM_Data!Q11</f>
        <v>-0.93964153554286156</v>
      </c>
      <c r="R11" s="12">
        <f>'24MS_Data'!R11-MTOM_Data!R11</f>
        <v>-0.93964153562864539</v>
      </c>
      <c r="S11" s="11">
        <f>'24MS_Data'!S11-MTOM_Data!S11</f>
        <v>-3.4036249671908081</v>
      </c>
      <c r="T11" s="11">
        <f>'24MS_Data'!T11-MTOM_Data!T11</f>
        <v>-1004.8190859181652</v>
      </c>
      <c r="U11" s="11">
        <f>'24MS_Data'!U11-MTOM_Data!U11</f>
        <v>0</v>
      </c>
      <c r="V11" s="10">
        <f>'24MS_Data'!V11-MTOM_Data!V11</f>
        <v>-19.245708202099195</v>
      </c>
      <c r="W11" s="11">
        <f>'24MS_Data'!W11-MTOM_Data!W11</f>
        <v>0</v>
      </c>
      <c r="X11" s="12">
        <f>'24MS_Data'!X11-MTOM_Data!X11</f>
        <v>4.8760999990520304E-3</v>
      </c>
      <c r="Y11" s="11">
        <f>'24MS_Data'!Y11-MTOM_Data!Y11</f>
        <v>2.010881430446716</v>
      </c>
      <c r="Z11" s="11">
        <f>'24MS_Data'!Z11-MTOM_Data!Z11</f>
        <v>4.8760999603842947E-3</v>
      </c>
      <c r="AA11" s="11">
        <f>'24MS_Data'!AA11-MTOM_Data!AA11</f>
        <v>0</v>
      </c>
      <c r="AB11" s="11">
        <f>'24MS_Data'!AB11-MTOM_Data!AB11</f>
        <v>3.5537190083090309E-3</v>
      </c>
      <c r="AC11" s="11">
        <f>'24MS_Data'!AC11-MTOM_Data!AC11</f>
        <v>0</v>
      </c>
      <c r="AD11" s="10">
        <f>'24MS_Data'!AD11-MTOM_Data!AD11</f>
        <v>0.30527417978964877</v>
      </c>
      <c r="AE11" s="11">
        <f>'24MS_Data'!AE11-MTOM_Data!AE11</f>
        <v>25.023093944675566</v>
      </c>
      <c r="AF11" s="11">
        <f>'24MS_Data'!AF11-MTOM_Data!AF11</f>
        <v>17.254630836076672</v>
      </c>
      <c r="AG11" s="11">
        <f>'24MS_Data'!AG11-MTOM_Data!AG11</f>
        <v>0</v>
      </c>
      <c r="AH11" s="11">
        <f>'24MS_Data'!AH11-MTOM_Data!AH11</f>
        <v>2.3405844594680758E-2</v>
      </c>
      <c r="AI11" s="11">
        <f>'24MS_Data'!AI11-MTOM_Data!AI11</f>
        <v>-10.000000000839918</v>
      </c>
      <c r="AJ11" s="12">
        <f>'24MS_Data'!AJ11-MTOM_Data!AJ11</f>
        <v>0</v>
      </c>
      <c r="AK11" s="11">
        <f>'24MS_Data'!AK11-MTOM_Data!AK11</f>
        <v>-0.10965294619427368</v>
      </c>
      <c r="AL11" s="11">
        <f>'24MS_Data'!AL11-MTOM_Data!AL11</f>
        <v>9.0358895249664783E-5</v>
      </c>
      <c r="AM11" s="11">
        <f>'24MS_Data'!AM11-MTOM_Data!AM11</f>
        <v>0.9040971609999815</v>
      </c>
      <c r="AN11" s="10">
        <f>'24MS_Data'!AN11-MTOM_Data!AN11</f>
        <v>0</v>
      </c>
      <c r="AO11" s="11">
        <f>'24MS_Data'!AO11-MTOM_Data!AO11</f>
        <v>4.8331450670957565E-5</v>
      </c>
      <c r="AP11" s="12">
        <f>'24MS_Data'!AP11-MTOM_Data!AP11</f>
        <v>5.9999791801601532E-9</v>
      </c>
      <c r="AQ11" s="11">
        <f>'24MS_Data'!AQ11-MTOM_Data!AQ11</f>
        <v>0</v>
      </c>
      <c r="AR11" s="11">
        <f>'24MS_Data'!AR11-MTOM_Data!AR11</f>
        <v>4.8331450670957565E-5</v>
      </c>
      <c r="AS11" s="11">
        <f>'24MS_Data'!AS11-MTOM_Data!AS11</f>
        <v>3.4000040614046156E-6</v>
      </c>
      <c r="AT11" s="13">
        <f>'24MS_Data'!AT11-MTOM_Data!AT11</f>
        <v>0</v>
      </c>
      <c r="AU11" s="11">
        <f>'24MS_Data'!AU11-MTOM_Data!AU11</f>
        <v>0</v>
      </c>
      <c r="AV11" s="13">
        <f>'24MS_Data'!AV11-MTOM_Data!AV11</f>
        <v>0</v>
      </c>
    </row>
    <row r="12" spans="1:48" x14ac:dyDescent="0.25">
      <c r="A12" s="49">
        <f t="shared" si="0"/>
        <v>44347</v>
      </c>
      <c r="B12" s="10">
        <f>'24MS_Data'!B12-MTOM_Data!B12</f>
        <v>1.6882261154851221</v>
      </c>
      <c r="C12" s="11">
        <f>'24MS_Data'!C12-MTOM_Data!C12</f>
        <v>0</v>
      </c>
      <c r="D12" s="11">
        <f>'24MS_Data'!D12-MTOM_Data!D12</f>
        <v>6.4201129399361889</v>
      </c>
      <c r="E12" s="11">
        <f>'24MS_Data'!E12-MTOM_Data!E12</f>
        <v>0</v>
      </c>
      <c r="F12" s="10">
        <f>'24MS_Data'!F12-MTOM_Data!F12</f>
        <v>1.0974132874016505</v>
      </c>
      <c r="G12" s="11">
        <f>'24MS_Data'!G12-MTOM_Data!G12</f>
        <v>6.4201129399496324</v>
      </c>
      <c r="H12" s="11">
        <f>'24MS_Data'!H12-MTOM_Data!H12</f>
        <v>0</v>
      </c>
      <c r="I12" s="11">
        <f>'24MS_Data'!I12-MTOM_Data!I12</f>
        <v>-27.862945105223332</v>
      </c>
      <c r="J12" s="12">
        <f>'24MS_Data'!J12-MTOM_Data!J12</f>
        <v>0</v>
      </c>
      <c r="K12" s="11">
        <f>'24MS_Data'!K12-MTOM_Data!K12</f>
        <v>-14.439160892387008</v>
      </c>
      <c r="L12" s="11">
        <f>'24MS_Data'!L12-MTOM_Data!L12</f>
        <v>0</v>
      </c>
      <c r="M12" s="11">
        <f>'24MS_Data'!M12-MTOM_Data!M12</f>
        <v>6.3140495867768678</v>
      </c>
      <c r="N12" s="10">
        <f>'24MS_Data'!N12-MTOM_Data!N12</f>
        <v>11.64290223097214</v>
      </c>
      <c r="O12" s="11">
        <f>'24MS_Data'!O12-MTOM_Data!O12</f>
        <v>6.314049586874944</v>
      </c>
      <c r="P12" s="11">
        <f>'24MS_Data'!P12-MTOM_Data!P12</f>
        <v>0</v>
      </c>
      <c r="Q12" s="11">
        <f>'24MS_Data'!Q12-MTOM_Data!Q12</f>
        <v>-81.112894431065598</v>
      </c>
      <c r="R12" s="12">
        <f>'24MS_Data'!R12-MTOM_Data!R12</f>
        <v>-81.177809724399779</v>
      </c>
      <c r="S12" s="11">
        <f>'24MS_Data'!S12-MTOM_Data!S12</f>
        <v>-3.4066457020990129</v>
      </c>
      <c r="T12" s="11">
        <f>'24MS_Data'!T12-MTOM_Data!T12</f>
        <v>-2582.2582574961125</v>
      </c>
      <c r="U12" s="11">
        <f>'24MS_Data'!U12-MTOM_Data!U12</f>
        <v>-29.67648823815135</v>
      </c>
      <c r="V12" s="10">
        <f>'24MS_Data'!V12-MTOM_Data!V12</f>
        <v>-19.062307349082403</v>
      </c>
      <c r="W12" s="11">
        <f>'24MS_Data'!W12-MTOM_Data!W12</f>
        <v>0</v>
      </c>
      <c r="X12" s="12">
        <f>'24MS_Data'!X12-MTOM_Data!X12</f>
        <v>4.7412946383816035</v>
      </c>
      <c r="Y12" s="11">
        <f>'24MS_Data'!Y12-MTOM_Data!Y12</f>
        <v>2.2461338910752602</v>
      </c>
      <c r="Z12" s="11">
        <f>'24MS_Data'!Z12-MTOM_Data!Z12</f>
        <v>4.7412946383905421</v>
      </c>
      <c r="AA12" s="11">
        <f>'24MS_Data'!AA12-MTOM_Data!AA12</f>
        <v>0</v>
      </c>
      <c r="AB12" s="11">
        <f>'24MS_Data'!AB12-MTOM_Data!AB12</f>
        <v>-6.6115702479407901E-4</v>
      </c>
      <c r="AC12" s="11">
        <f>'24MS_Data'!AC12-MTOM_Data!AC12</f>
        <v>0</v>
      </c>
      <c r="AD12" s="10">
        <f>'24MS_Data'!AD12-MTOM_Data!AD12</f>
        <v>-0.77855009842505751</v>
      </c>
      <c r="AE12" s="11">
        <f>'24MS_Data'!AE12-MTOM_Data!AE12</f>
        <v>-66.444159050570306</v>
      </c>
      <c r="AF12" s="11">
        <f>'24MS_Data'!AF12-MTOM_Data!AF12</f>
        <v>-108.82848916784337</v>
      </c>
      <c r="AG12" s="11">
        <f>'24MS_Data'!AG12-MTOM_Data!AG12</f>
        <v>0</v>
      </c>
      <c r="AH12" s="11">
        <f>'24MS_Data'!AH12-MTOM_Data!AH12</f>
        <v>-4.3855732409937787E-2</v>
      </c>
      <c r="AI12" s="11">
        <f>'24MS_Data'!AI12-MTOM_Data!AI12</f>
        <v>-10.000000000626756</v>
      </c>
      <c r="AJ12" s="12">
        <f>'24MS_Data'!AJ12-MTOM_Data!AJ12</f>
        <v>0</v>
      </c>
      <c r="AK12" s="11">
        <f>'24MS_Data'!AK12-MTOM_Data!AK12</f>
        <v>-0.22220031824144826</v>
      </c>
      <c r="AL12" s="11">
        <f>'24MS_Data'!AL12-MTOM_Data!AL12</f>
        <v>8.6856307461857796E-6</v>
      </c>
      <c r="AM12" s="11">
        <f>'24MS_Data'!AM12-MTOM_Data!AM12</f>
        <v>1.2075686270000006</v>
      </c>
      <c r="AN12" s="10">
        <f>'24MS_Data'!AN12-MTOM_Data!AN12</f>
        <v>0</v>
      </c>
      <c r="AO12" s="11">
        <f>'24MS_Data'!AO12-MTOM_Data!AO12</f>
        <v>0</v>
      </c>
      <c r="AP12" s="12">
        <f>'24MS_Data'!AP12-MTOM_Data!AP12</f>
        <v>2.0000072709080996E-9</v>
      </c>
      <c r="AQ12" s="11">
        <f>'24MS_Data'!AQ12-MTOM_Data!AQ12</f>
        <v>0</v>
      </c>
      <c r="AR12" s="11">
        <f>'24MS_Data'!AR12-MTOM_Data!AR12</f>
        <v>0</v>
      </c>
      <c r="AS12" s="11">
        <f>'24MS_Data'!AS12-MTOM_Data!AS12</f>
        <v>0</v>
      </c>
      <c r="AT12" s="13">
        <f>'24MS_Data'!AT12-MTOM_Data!AT12</f>
        <v>0</v>
      </c>
      <c r="AU12" s="11">
        <f>'24MS_Data'!AU12-MTOM_Data!AU12</f>
        <v>0</v>
      </c>
      <c r="AV12" s="13">
        <f>'24MS_Data'!AV12-MTOM_Data!AV12</f>
        <v>0</v>
      </c>
    </row>
    <row r="13" spans="1:48" x14ac:dyDescent="0.25">
      <c r="A13" s="49">
        <f t="shared" si="0"/>
        <v>44377</v>
      </c>
      <c r="B13" s="10">
        <f>'24MS_Data'!B13-MTOM_Data!B13</f>
        <v>-0.45305702099722112</v>
      </c>
      <c r="C13" s="11">
        <f>'24MS_Data'!C13-MTOM_Data!C13</f>
        <v>0</v>
      </c>
      <c r="D13" s="11">
        <f>'24MS_Data'!D13-MTOM_Data!D13</f>
        <v>11.65233746385293</v>
      </c>
      <c r="E13" s="11">
        <f>'24MS_Data'!E13-MTOM_Data!E13</f>
        <v>11.36409674458141</v>
      </c>
      <c r="F13" s="10">
        <f>'24MS_Data'!F13-MTOM_Data!F13</f>
        <v>-1.4773564632550915</v>
      </c>
      <c r="G13" s="11">
        <f>'24MS_Data'!G13-MTOM_Data!G13</f>
        <v>11.652337463824097</v>
      </c>
      <c r="H13" s="11">
        <f>'24MS_Data'!H13-MTOM_Data!H13</f>
        <v>0</v>
      </c>
      <c r="I13" s="11">
        <f>'24MS_Data'!I13-MTOM_Data!I13</f>
        <v>112.0363751064373</v>
      </c>
      <c r="J13" s="12">
        <f>'24MS_Data'!J13-MTOM_Data!J13</f>
        <v>76.936476368594043</v>
      </c>
      <c r="K13" s="11">
        <f>'24MS_Data'!K13-MTOM_Data!K13</f>
        <v>-15.001584448818903</v>
      </c>
      <c r="L13" s="11">
        <f>'24MS_Data'!L13-MTOM_Data!L13</f>
        <v>0</v>
      </c>
      <c r="M13" s="11">
        <f>'24MS_Data'!M13-MTOM_Data!M13</f>
        <v>5.1239669421487477</v>
      </c>
      <c r="N13" s="10">
        <f>'24MS_Data'!N13-MTOM_Data!N13</f>
        <v>-3.2838764435691701</v>
      </c>
      <c r="O13" s="11">
        <f>'24MS_Data'!O13-MTOM_Data!O13</f>
        <v>5.1239669438298563</v>
      </c>
      <c r="P13" s="11">
        <f>'24MS_Data'!P13-MTOM_Data!P13</f>
        <v>0</v>
      </c>
      <c r="Q13" s="11">
        <f>'24MS_Data'!Q13-MTOM_Data!Q13</f>
        <v>119.4234907233548</v>
      </c>
      <c r="R13" s="12">
        <f>'24MS_Data'!R13-MTOM_Data!R13</f>
        <v>0</v>
      </c>
      <c r="S13" s="11">
        <f>'24MS_Data'!S13-MTOM_Data!S13</f>
        <v>-3.4012817585298762</v>
      </c>
      <c r="T13" s="11">
        <f>'24MS_Data'!T13-MTOM_Data!T13</f>
        <v>-1184.6826079723216</v>
      </c>
      <c r="U13" s="11">
        <f>'24MS_Data'!U13-MTOM_Data!U13</f>
        <v>70.377851239544967</v>
      </c>
      <c r="V13" s="10">
        <f>'24MS_Data'!V13-MTOM_Data!V13</f>
        <v>-13.732991666667658</v>
      </c>
      <c r="W13" s="11">
        <f>'24MS_Data'!W13-MTOM_Data!W13</f>
        <v>0</v>
      </c>
      <c r="X13" s="12">
        <f>'24MS_Data'!X13-MTOM_Data!X13</f>
        <v>-11.709161986407715</v>
      </c>
      <c r="Y13" s="11">
        <f>'24MS_Data'!Y13-MTOM_Data!Y13</f>
        <v>0.67333979658815224</v>
      </c>
      <c r="Z13" s="11">
        <f>'24MS_Data'!Z13-MTOM_Data!Z13</f>
        <v>-11.709161986311869</v>
      </c>
      <c r="AA13" s="11">
        <f>'24MS_Data'!AA13-MTOM_Data!AA13</f>
        <v>0</v>
      </c>
      <c r="AB13" s="11">
        <f>'24MS_Data'!AB13-MTOM_Data!AB13</f>
        <v>7.4335537190083159</v>
      </c>
      <c r="AC13" s="11">
        <f>'24MS_Data'!AC13-MTOM_Data!AC13</f>
        <v>0</v>
      </c>
      <c r="AD13" s="10">
        <f>'24MS_Data'!AD13-MTOM_Data!AD13</f>
        <v>1.7826270013119938</v>
      </c>
      <c r="AE13" s="11">
        <f>'24MS_Data'!AE13-MTOM_Data!AE13</f>
        <v>164.04527358288215</v>
      </c>
      <c r="AF13" s="11">
        <f>'24MS_Data'!AF13-MTOM_Data!AF13</f>
        <v>239.06926765930166</v>
      </c>
      <c r="AG13" s="11">
        <f>'24MS_Data'!AG13-MTOM_Data!AG13</f>
        <v>0</v>
      </c>
      <c r="AH13" s="11">
        <f>'24MS_Data'!AH13-MTOM_Data!AH13</f>
        <v>0.14067994251541194</v>
      </c>
      <c r="AI13" s="11">
        <f>'24MS_Data'!AI13-MTOM_Data!AI13</f>
        <v>-10.000000000000796</v>
      </c>
      <c r="AJ13" s="12">
        <f>'24MS_Data'!AJ13-MTOM_Data!AJ13</f>
        <v>0</v>
      </c>
      <c r="AK13" s="11">
        <f>'24MS_Data'!AK13-MTOM_Data!AK13</f>
        <v>-0.33667730643082905</v>
      </c>
      <c r="AL13" s="11">
        <f>'24MS_Data'!AL13-MTOM_Data!AL13</f>
        <v>-5.673698615282774E-5</v>
      </c>
      <c r="AM13" s="11">
        <f>'24MS_Data'!AM13-MTOM_Data!AM13</f>
        <v>1.1826489779999747</v>
      </c>
      <c r="AN13" s="10">
        <f>'24MS_Data'!AN13-MTOM_Data!AN13</f>
        <v>0</v>
      </c>
      <c r="AO13" s="11">
        <f>'24MS_Data'!AO13-MTOM_Data!AO13</f>
        <v>-4.2027095332741737E-6</v>
      </c>
      <c r="AP13" s="12">
        <f>'24MS_Data'!AP13-MTOM_Data!AP13</f>
        <v>0</v>
      </c>
      <c r="AQ13" s="11">
        <f>'24MS_Data'!AQ13-MTOM_Data!AQ13</f>
        <v>0</v>
      </c>
      <c r="AR13" s="11">
        <f>'24MS_Data'!AR13-MTOM_Data!AR13</f>
        <v>-6.304238922894001E-6</v>
      </c>
      <c r="AS13" s="11">
        <f>'24MS_Data'!AS13-MTOM_Data!AS13</f>
        <v>-3.0000228434801102E-7</v>
      </c>
      <c r="AT13" s="13">
        <f>'24MS_Data'!AT13-MTOM_Data!AT13</f>
        <v>0</v>
      </c>
      <c r="AU13" s="11">
        <f>'24MS_Data'!AU13-MTOM_Data!AU13</f>
        <v>0</v>
      </c>
      <c r="AV13" s="13">
        <f>'24MS_Data'!AV13-MTOM_Data!AV13</f>
        <v>0</v>
      </c>
    </row>
    <row r="14" spans="1:48" x14ac:dyDescent="0.25">
      <c r="A14" s="49">
        <f t="shared" si="0"/>
        <v>44408</v>
      </c>
      <c r="B14" s="10">
        <f>'24MS_Data'!B14-MTOM_Data!B14</f>
        <v>-2.815736023622776</v>
      </c>
      <c r="C14" s="11">
        <f>'24MS_Data'!C14-MTOM_Data!C14</f>
        <v>0</v>
      </c>
      <c r="D14" s="11">
        <f>'24MS_Data'!D14-MTOM_Data!D14</f>
        <v>18.771282499895975</v>
      </c>
      <c r="E14" s="11">
        <f>'24MS_Data'!E14-MTOM_Data!E14</f>
        <v>17.208298877223235</v>
      </c>
      <c r="F14" s="10">
        <f>'24MS_Data'!F14-MTOM_Data!F14</f>
        <v>0.12964780183665425</v>
      </c>
      <c r="G14" s="11">
        <f>'24MS_Data'!G14-MTOM_Data!G14</f>
        <v>18.771282499855545</v>
      </c>
      <c r="H14" s="11">
        <f>'24MS_Data'!H14-MTOM_Data!H14</f>
        <v>0</v>
      </c>
      <c r="I14" s="11">
        <f>'24MS_Data'!I14-MTOM_Data!I14</f>
        <v>-43.197739718496635</v>
      </c>
      <c r="J14" s="12">
        <f>'24MS_Data'!J14-MTOM_Data!J14</f>
        <v>0</v>
      </c>
      <c r="K14" s="11">
        <f>'24MS_Data'!K14-MTOM_Data!K14</f>
        <v>-20.273407217846398</v>
      </c>
      <c r="L14" s="11">
        <f>'24MS_Data'!L14-MTOM_Data!L14</f>
        <v>0</v>
      </c>
      <c r="M14" s="11">
        <f>'24MS_Data'!M14-MTOM_Data!M14</f>
        <v>8.1280991735537249</v>
      </c>
      <c r="N14" s="10">
        <f>'24MS_Data'!N14-MTOM_Data!N14</f>
        <v>0.35960006561617774</v>
      </c>
      <c r="O14" s="11">
        <f>'24MS_Data'!O14-MTOM_Data!O14</f>
        <v>8.1280991733925987</v>
      </c>
      <c r="P14" s="11">
        <f>'24MS_Data'!P14-MTOM_Data!P14</f>
        <v>0</v>
      </c>
      <c r="Q14" s="11">
        <f>'24MS_Data'!Q14-MTOM_Data!Q14</f>
        <v>-22.197173422262154</v>
      </c>
      <c r="R14" s="12">
        <f>'24MS_Data'!R14-MTOM_Data!R14</f>
        <v>0</v>
      </c>
      <c r="S14" s="11">
        <f>'24MS_Data'!S14-MTOM_Data!S14</f>
        <v>-3.4066457020990129</v>
      </c>
      <c r="T14" s="11">
        <f>'24MS_Data'!T14-MTOM_Data!T14</f>
        <v>-1765.5385238868478</v>
      </c>
      <c r="U14" s="11">
        <f>'24MS_Data'!U14-MTOM_Data!U14</f>
        <v>0</v>
      </c>
      <c r="V14" s="10">
        <f>'24MS_Data'!V14-MTOM_Data!V14</f>
        <v>-15.287773523620672</v>
      </c>
      <c r="W14" s="11">
        <f>'24MS_Data'!W14-MTOM_Data!W14</f>
        <v>0</v>
      </c>
      <c r="X14" s="12">
        <f>'24MS_Data'!X14-MTOM_Data!X14</f>
        <v>2.1817565332582234</v>
      </c>
      <c r="Y14" s="11">
        <f>'24MS_Data'!Y14-MTOM_Data!Y14</f>
        <v>0.13177083333357587</v>
      </c>
      <c r="Z14" s="11">
        <f>'24MS_Data'!Z14-MTOM_Data!Z14</f>
        <v>2.1817565332321323</v>
      </c>
      <c r="AA14" s="11">
        <f>'24MS_Data'!AA14-MTOM_Data!AA14</f>
        <v>0</v>
      </c>
      <c r="AB14" s="11">
        <f>'24MS_Data'!AB14-MTOM_Data!AB14</f>
        <v>9.2193388429752083</v>
      </c>
      <c r="AC14" s="11">
        <f>'24MS_Data'!AC14-MTOM_Data!AC14</f>
        <v>0</v>
      </c>
      <c r="AD14" s="10">
        <f>'24MS_Data'!AD14-MTOM_Data!AD14</f>
        <v>1.0218001312337037</v>
      </c>
      <c r="AE14" s="11">
        <f>'24MS_Data'!AE14-MTOM_Data!AE14</f>
        <v>93.265962576904712</v>
      </c>
      <c r="AF14" s="11">
        <f>'24MS_Data'!AF14-MTOM_Data!AF14</f>
        <v>-55.978217609792182</v>
      </c>
      <c r="AG14" s="11">
        <f>'24MS_Data'!AG14-MTOM_Data!AG14</f>
        <v>0</v>
      </c>
      <c r="AH14" s="11">
        <f>'24MS_Data'!AH14-MTOM_Data!AH14</f>
        <v>0.46343653412568386</v>
      </c>
      <c r="AI14" s="11">
        <f>'24MS_Data'!AI14-MTOM_Data!AI14</f>
        <v>19.999999996217525</v>
      </c>
      <c r="AJ14" s="12">
        <f>'24MS_Data'!AJ14-MTOM_Data!AJ14</f>
        <v>0</v>
      </c>
      <c r="AK14" s="11">
        <f>'24MS_Data'!AK14-MTOM_Data!AK14</f>
        <v>-0.11081719160097236</v>
      </c>
      <c r="AL14" s="11">
        <f>'24MS_Data'!AL14-MTOM_Data!AL14</f>
        <v>4.9942638725042343E-5</v>
      </c>
      <c r="AM14" s="11">
        <f>'24MS_Data'!AM14-MTOM_Data!AM14</f>
        <v>1.4365480750000188</v>
      </c>
      <c r="AN14" s="10">
        <f>'24MS_Data'!AN14-MTOM_Data!AN14</f>
        <v>0</v>
      </c>
      <c r="AO14" s="11">
        <f>'24MS_Data'!AO14-MTOM_Data!AO14</f>
        <v>4.7771143727004528E-5</v>
      </c>
      <c r="AP14" s="12">
        <f>'24MS_Data'!AP14-MTOM_Data!AP14</f>
        <v>6.0000076018695836E-9</v>
      </c>
      <c r="AQ14" s="11">
        <f>'24MS_Data'!AQ14-MTOM_Data!AQ14</f>
        <v>0</v>
      </c>
      <c r="AR14" s="11">
        <f>'24MS_Data'!AR14-MTOM_Data!AR14</f>
        <v>4.7771143727004528E-5</v>
      </c>
      <c r="AS14" s="11">
        <f>'24MS_Data'!AS14-MTOM_Data!AS14</f>
        <v>3.2999960239976645E-6</v>
      </c>
      <c r="AT14" s="13">
        <f>'24MS_Data'!AT14-MTOM_Data!AT14</f>
        <v>0</v>
      </c>
      <c r="AU14" s="11">
        <f>'24MS_Data'!AU14-MTOM_Data!AU14</f>
        <v>0</v>
      </c>
      <c r="AV14" s="13">
        <f>'24MS_Data'!AV14-MTOM_Data!AV14</f>
        <v>0</v>
      </c>
    </row>
    <row r="15" spans="1:48" x14ac:dyDescent="0.25">
      <c r="A15" s="49">
        <f t="shared" si="0"/>
        <v>44439</v>
      </c>
      <c r="B15" s="10">
        <f>'24MS_Data'!B15-MTOM_Data!B15</f>
        <v>0.72431309055173188</v>
      </c>
      <c r="C15" s="11">
        <f>'24MS_Data'!C15-MTOM_Data!C15</f>
        <v>0</v>
      </c>
      <c r="D15" s="11">
        <f>'24MS_Data'!D15-MTOM_Data!D15</f>
        <v>-27.685453390282973</v>
      </c>
      <c r="E15" s="11">
        <f>'24MS_Data'!E15-MTOM_Data!E15</f>
        <v>0</v>
      </c>
      <c r="F15" s="10">
        <f>'24MS_Data'!F15-MTOM_Data!F15</f>
        <v>-4.4829954068518418E-2</v>
      </c>
      <c r="G15" s="11">
        <f>'24MS_Data'!G15-MTOM_Data!G15</f>
        <v>-27.685453390111405</v>
      </c>
      <c r="H15" s="11">
        <f>'24MS_Data'!H15-MTOM_Data!H15</f>
        <v>0</v>
      </c>
      <c r="I15" s="11">
        <f>'24MS_Data'!I15-MTOM_Data!I15</f>
        <v>-20.882160574173398</v>
      </c>
      <c r="J15" s="12">
        <f>'24MS_Data'!J15-MTOM_Data!J15</f>
        <v>0</v>
      </c>
      <c r="K15" s="11">
        <f>'24MS_Data'!K15-MTOM_Data!K15</f>
        <v>-22.023688188975939</v>
      </c>
      <c r="L15" s="11">
        <f>'24MS_Data'!L15-MTOM_Data!L15</f>
        <v>0</v>
      </c>
      <c r="M15" s="11">
        <f>'24MS_Data'!M15-MTOM_Data!M15</f>
        <v>-0.48981509092461195</v>
      </c>
      <c r="N15" s="10">
        <f>'24MS_Data'!N15-MTOM_Data!N15</f>
        <v>1.8781876968505458</v>
      </c>
      <c r="O15" s="11">
        <f>'24MS_Data'!O15-MTOM_Data!O15</f>
        <v>-0.48981509094350884</v>
      </c>
      <c r="P15" s="11">
        <f>'24MS_Data'!P15-MTOM_Data!P15</f>
        <v>0</v>
      </c>
      <c r="Q15" s="11">
        <f>'24MS_Data'!Q15-MTOM_Data!Q15</f>
        <v>-12.882745160304054</v>
      </c>
      <c r="R15" s="12">
        <f>'24MS_Data'!R15-MTOM_Data!R15</f>
        <v>0</v>
      </c>
      <c r="S15" s="11">
        <f>'24MS_Data'!S15-MTOM_Data!S15</f>
        <v>-3.4066457020990129</v>
      </c>
      <c r="T15" s="11">
        <f>'24MS_Data'!T15-MTOM_Data!T15</f>
        <v>-1614.892310893443</v>
      </c>
      <c r="U15" s="11">
        <f>'24MS_Data'!U15-MTOM_Data!U15</f>
        <v>0</v>
      </c>
      <c r="V15" s="10">
        <f>'24MS_Data'!V15-MTOM_Data!V15</f>
        <v>-17.340971325457758</v>
      </c>
      <c r="W15" s="11">
        <f>'24MS_Data'!W15-MTOM_Data!W15</f>
        <v>0</v>
      </c>
      <c r="X15" s="12">
        <f>'24MS_Data'!X15-MTOM_Data!X15</f>
        <v>1.0072276088999601</v>
      </c>
      <c r="Y15" s="11">
        <f>'24MS_Data'!Y15-MTOM_Data!Y15</f>
        <v>-0.36616627296643856</v>
      </c>
      <c r="Z15" s="11">
        <f>'24MS_Data'!Z15-MTOM_Data!Z15</f>
        <v>1.0072276089063479</v>
      </c>
      <c r="AA15" s="11">
        <f>'24MS_Data'!AA15-MTOM_Data!AA15</f>
        <v>0</v>
      </c>
      <c r="AB15" s="11">
        <f>'24MS_Data'!AB15-MTOM_Data!AB15</f>
        <v>7.2393388429752612</v>
      </c>
      <c r="AC15" s="11">
        <f>'24MS_Data'!AC15-MTOM_Data!AC15</f>
        <v>0</v>
      </c>
      <c r="AD15" s="10">
        <f>'24MS_Data'!AD15-MTOM_Data!AD15</f>
        <v>0.87398517060364611</v>
      </c>
      <c r="AE15" s="11">
        <f>'24MS_Data'!AE15-MTOM_Data!AE15</f>
        <v>77.812554249547247</v>
      </c>
      <c r="AF15" s="11">
        <f>'24MS_Data'!AF15-MTOM_Data!AF15</f>
        <v>-26.379763880250948</v>
      </c>
      <c r="AG15" s="11">
        <f>'24MS_Data'!AG15-MTOM_Data!AG15</f>
        <v>0</v>
      </c>
      <c r="AH15" s="11">
        <f>'24MS_Data'!AH15-MTOM_Data!AH15</f>
        <v>0.30991706692663001</v>
      </c>
      <c r="AI15" s="11">
        <f>'24MS_Data'!AI15-MTOM_Data!AI15</f>
        <v>-9.9999999976184881</v>
      </c>
      <c r="AJ15" s="12">
        <f>'24MS_Data'!AJ15-MTOM_Data!AJ15</f>
        <v>0</v>
      </c>
      <c r="AK15" s="11">
        <f>'24MS_Data'!AK15-MTOM_Data!AK15</f>
        <v>-0.22191440616779801</v>
      </c>
      <c r="AL15" s="11">
        <f>'24MS_Data'!AL15-MTOM_Data!AL15</f>
        <v>4.3429899960756302E-6</v>
      </c>
      <c r="AM15" s="11">
        <f>'24MS_Data'!AM15-MTOM_Data!AM15</f>
        <v>1.5268152190000137</v>
      </c>
      <c r="AN15" s="10">
        <f>'24MS_Data'!AN15-MTOM_Data!AN15</f>
        <v>0</v>
      </c>
      <c r="AO15" s="11">
        <f>'24MS_Data'!AO15-MTOM_Data!AO15</f>
        <v>6.5141357481479645E-6</v>
      </c>
      <c r="AP15" s="12">
        <f>'24MS_Data'!AP15-MTOM_Data!AP15</f>
        <v>6.00010707785259E-10</v>
      </c>
      <c r="AQ15" s="11">
        <f>'24MS_Data'!AQ15-MTOM_Data!AQ15</f>
        <v>0</v>
      </c>
      <c r="AR15" s="11">
        <f>'24MS_Data'!AR15-MTOM_Data!AR15</f>
        <v>6.5142521634697914E-6</v>
      </c>
      <c r="AS15" s="11">
        <f>'24MS_Data'!AS15-MTOM_Data!AS15</f>
        <v>2.9999500839039683E-7</v>
      </c>
      <c r="AT15" s="13">
        <f>'24MS_Data'!AT15-MTOM_Data!AT15</f>
        <v>0</v>
      </c>
      <c r="AU15" s="11">
        <f>'24MS_Data'!AU15-MTOM_Data!AU15</f>
        <v>0</v>
      </c>
      <c r="AV15" s="13">
        <f>'24MS_Data'!AV15-MTOM_Data!AV15</f>
        <v>0</v>
      </c>
    </row>
    <row r="16" spans="1:48" x14ac:dyDescent="0.25">
      <c r="A16" s="49">
        <f t="shared" si="0"/>
        <v>44469</v>
      </c>
      <c r="B16" s="10">
        <f>'24MS_Data'!B16-MTOM_Data!B16</f>
        <v>1.7292711286090707</v>
      </c>
      <c r="C16" s="11">
        <f>'24MS_Data'!C16-MTOM_Data!C16</f>
        <v>0</v>
      </c>
      <c r="D16" s="11">
        <f>'24MS_Data'!D16-MTOM_Data!D16</f>
        <v>-7.2397974675845447</v>
      </c>
      <c r="E16" s="11">
        <f>'24MS_Data'!E16-MTOM_Data!E16</f>
        <v>-7.0069745394189553</v>
      </c>
      <c r="F16" s="10">
        <f>'24MS_Data'!F16-MTOM_Data!F16</f>
        <v>0.22573953412120318</v>
      </c>
      <c r="G16" s="11">
        <f>'24MS_Data'!G16-MTOM_Data!G16</f>
        <v>-7.2397974676266443</v>
      </c>
      <c r="H16" s="11">
        <f>'24MS_Data'!H16-MTOM_Data!H16</f>
        <v>0</v>
      </c>
      <c r="I16" s="11">
        <f>'24MS_Data'!I16-MTOM_Data!I16</f>
        <v>-17.712918793819966</v>
      </c>
      <c r="J16" s="12">
        <f>'24MS_Data'!J16-MTOM_Data!J16</f>
        <v>0</v>
      </c>
      <c r="K16" s="11">
        <f>'24MS_Data'!K16-MTOM_Data!K16</f>
        <v>-23.208716961940809</v>
      </c>
      <c r="L16" s="11">
        <f>'24MS_Data'!L16-MTOM_Data!L16</f>
        <v>0</v>
      </c>
      <c r="M16" s="11">
        <f>'24MS_Data'!M16-MTOM_Data!M16</f>
        <v>-3.1383200000008173</v>
      </c>
      <c r="N16" s="10">
        <f>'24MS_Data'!N16-MTOM_Data!N16</f>
        <v>1.4769727362199774</v>
      </c>
      <c r="O16" s="11">
        <f>'24MS_Data'!O16-MTOM_Data!O16</f>
        <v>-3.1383199999797924</v>
      </c>
      <c r="P16" s="11">
        <f>'24MS_Data'!P16-MTOM_Data!P16</f>
        <v>0</v>
      </c>
      <c r="Q16" s="11">
        <f>'24MS_Data'!Q16-MTOM_Data!Q16</f>
        <v>0.41299936520104552</v>
      </c>
      <c r="R16" s="12">
        <f>'24MS_Data'!R16-MTOM_Data!R16</f>
        <v>0</v>
      </c>
      <c r="S16" s="11">
        <f>'24MS_Data'!S16-MTOM_Data!S16</f>
        <v>-3.4028864501315184</v>
      </c>
      <c r="T16" s="11">
        <f>'24MS_Data'!T16-MTOM_Data!T16</f>
        <v>-1354.6909639721318</v>
      </c>
      <c r="U16" s="11">
        <f>'24MS_Data'!U16-MTOM_Data!U16</f>
        <v>0.43745753571147361</v>
      </c>
      <c r="V16" s="10">
        <f>'24MS_Data'!V16-MTOM_Data!V16</f>
        <v>-19.677475557741673</v>
      </c>
      <c r="W16" s="11">
        <f>'24MS_Data'!W16-MTOM_Data!W16</f>
        <v>0</v>
      </c>
      <c r="X16" s="12">
        <f>'24MS_Data'!X16-MTOM_Data!X16</f>
        <v>0.72742525168133909</v>
      </c>
      <c r="Y16" s="11">
        <f>'24MS_Data'!Y16-MTOM_Data!Y16</f>
        <v>-0.57961499343764444</v>
      </c>
      <c r="Z16" s="11">
        <f>'24MS_Data'!Z16-MTOM_Data!Z16</f>
        <v>0.72742525179228323</v>
      </c>
      <c r="AA16" s="11">
        <f>'24MS_Data'!AA16-MTOM_Data!AA16</f>
        <v>0</v>
      </c>
      <c r="AB16" s="11">
        <f>'24MS_Data'!AB16-MTOM_Data!AB16</f>
        <v>3.3735537190082887</v>
      </c>
      <c r="AC16" s="11">
        <f>'24MS_Data'!AC16-MTOM_Data!AC16</f>
        <v>0</v>
      </c>
      <c r="AD16" s="10">
        <f>'24MS_Data'!AD16-MTOM_Data!AD16</f>
        <v>0.52903261154870052</v>
      </c>
      <c r="AE16" s="11">
        <f>'24MS_Data'!AE16-MTOM_Data!AE16</f>
        <v>46.31907042392595</v>
      </c>
      <c r="AF16" s="11">
        <f>'24MS_Data'!AF16-MTOM_Data!AF16</f>
        <v>-13.803166728586802</v>
      </c>
      <c r="AG16" s="11">
        <f>'24MS_Data'!AG16-MTOM_Data!AG16</f>
        <v>0</v>
      </c>
      <c r="AH16" s="11">
        <f>'24MS_Data'!AH16-MTOM_Data!AH16</f>
        <v>0.20979502877361256</v>
      </c>
      <c r="AI16" s="11">
        <f>'24MS_Data'!AI16-MTOM_Data!AI16</f>
        <v>20.000000023533062</v>
      </c>
      <c r="AJ16" s="12">
        <f>'24MS_Data'!AJ16-MTOM_Data!AJ16</f>
        <v>0</v>
      </c>
      <c r="AK16" s="11">
        <f>'24MS_Data'!AK16-MTOM_Data!AK16</f>
        <v>2.4593799212198064E-3</v>
      </c>
      <c r="AL16" s="11">
        <f>'24MS_Data'!AL16-MTOM_Data!AL16</f>
        <v>4.2027095332741737E-6</v>
      </c>
      <c r="AM16" s="11">
        <f>'24MS_Data'!AM16-MTOM_Data!AM16</f>
        <v>1.5678774510000721</v>
      </c>
      <c r="AN16" s="10">
        <f>'24MS_Data'!AN16-MTOM_Data!AN16</f>
        <v>0</v>
      </c>
      <c r="AO16" s="11">
        <f>'24MS_Data'!AO16-MTOM_Data!AO16</f>
        <v>4.2028259485960007E-6</v>
      </c>
      <c r="AP16" s="12">
        <f>'24MS_Data'!AP16-MTOM_Data!AP16</f>
        <v>5.999822860758286E-10</v>
      </c>
      <c r="AQ16" s="11">
        <f>'24MS_Data'!AQ16-MTOM_Data!AQ16</f>
        <v>0</v>
      </c>
      <c r="AR16" s="11">
        <f>'24MS_Data'!AR16-MTOM_Data!AR16</f>
        <v>4.2025931179523468E-6</v>
      </c>
      <c r="AS16" s="11">
        <f>'24MS_Data'!AS16-MTOM_Data!AS16</f>
        <v>2.9999500839039683E-7</v>
      </c>
      <c r="AT16" s="13">
        <f>'24MS_Data'!AT16-MTOM_Data!AT16</f>
        <v>0</v>
      </c>
      <c r="AU16" s="11">
        <f>'24MS_Data'!AU16-MTOM_Data!AU16</f>
        <v>0</v>
      </c>
      <c r="AV16" s="13">
        <f>'24MS_Data'!AV16-MTOM_Data!AV16</f>
        <v>0</v>
      </c>
    </row>
    <row r="17" spans="1:48" x14ac:dyDescent="0.25">
      <c r="A17" s="49">
        <f t="shared" si="0"/>
        <v>44500</v>
      </c>
      <c r="B17" s="10">
        <f>'24MS_Data'!B17-MTOM_Data!B17</f>
        <v>2.7685001968502547</v>
      </c>
      <c r="C17" s="11">
        <f>'24MS_Data'!C17-MTOM_Data!C17</f>
        <v>0</v>
      </c>
      <c r="D17" s="11">
        <f>'24MS_Data'!D17-MTOM_Data!D17</f>
        <v>-7.1697822781322174</v>
      </c>
      <c r="E17" s="11">
        <f>'24MS_Data'!E17-MTOM_Data!E17</f>
        <v>0</v>
      </c>
      <c r="F17" s="10">
        <f>'24MS_Data'!F17-MTOM_Data!F17</f>
        <v>1.0097849737530851</v>
      </c>
      <c r="G17" s="11">
        <f>'24MS_Data'!G17-MTOM_Data!G17</f>
        <v>-7.169782278029146</v>
      </c>
      <c r="H17" s="11">
        <f>'24MS_Data'!H17-MTOM_Data!H17</f>
        <v>0</v>
      </c>
      <c r="I17" s="11">
        <f>'24MS_Data'!I17-MTOM_Data!I17</f>
        <v>-37.312176127817381</v>
      </c>
      <c r="J17" s="12">
        <f>'24MS_Data'!J17-MTOM_Data!J17</f>
        <v>0</v>
      </c>
      <c r="K17" s="11">
        <f>'24MS_Data'!K17-MTOM_Data!K17</f>
        <v>-27.33049320866121</v>
      </c>
      <c r="L17" s="11">
        <f>'24MS_Data'!L17-MTOM_Data!L17</f>
        <v>0</v>
      </c>
      <c r="M17" s="11">
        <f>'24MS_Data'!M17-MTOM_Data!M17</f>
        <v>3.2598200000091104</v>
      </c>
      <c r="N17" s="10">
        <f>'24MS_Data'!N17-MTOM_Data!N17</f>
        <v>-2.1575025918637039</v>
      </c>
      <c r="O17" s="11">
        <f>'24MS_Data'!O17-MTOM_Data!O17</f>
        <v>3.2598200000462398</v>
      </c>
      <c r="P17" s="11">
        <f>'24MS_Data'!P17-MTOM_Data!P17</f>
        <v>0</v>
      </c>
      <c r="Q17" s="11">
        <f>'24MS_Data'!Q17-MTOM_Data!Q17</f>
        <v>32.105622725867278</v>
      </c>
      <c r="R17" s="12">
        <f>'24MS_Data'!R17-MTOM_Data!R17</f>
        <v>0</v>
      </c>
      <c r="S17" s="11">
        <f>'24MS_Data'!S17-MTOM_Data!S17</f>
        <v>-3.4066457020990129</v>
      </c>
      <c r="T17" s="11">
        <f>'24MS_Data'!T17-MTOM_Data!T17</f>
        <v>-754.18390212382428</v>
      </c>
      <c r="U17" s="11">
        <f>'24MS_Data'!U17-MTOM_Data!U17</f>
        <v>0</v>
      </c>
      <c r="V17" s="10">
        <f>'24MS_Data'!V17-MTOM_Data!V17</f>
        <v>-20.689353740155639</v>
      </c>
      <c r="W17" s="11">
        <f>'24MS_Data'!W17-MTOM_Data!W17</f>
        <v>0</v>
      </c>
      <c r="X17" s="12">
        <f>'24MS_Data'!X17-MTOM_Data!X17</f>
        <v>0.95988538620773411</v>
      </c>
      <c r="Y17" s="11">
        <f>'24MS_Data'!Y17-MTOM_Data!Y17</f>
        <v>-0.49409402887158649</v>
      </c>
      <c r="Z17" s="11">
        <f>'24MS_Data'!Z17-MTOM_Data!Z17</f>
        <v>0.95988538624136766</v>
      </c>
      <c r="AA17" s="11">
        <f>'24MS_Data'!AA17-MTOM_Data!AA17</f>
        <v>0</v>
      </c>
      <c r="AB17" s="11">
        <f>'24MS_Data'!AB17-MTOM_Data!AB17</f>
        <v>-6.0661157024799905E-2</v>
      </c>
      <c r="AC17" s="11">
        <f>'24MS_Data'!AC17-MTOM_Data!AC17</f>
        <v>0</v>
      </c>
      <c r="AD17" s="10">
        <f>'24MS_Data'!AD17-MTOM_Data!AD17</f>
        <v>0.47808950131229722</v>
      </c>
      <c r="AE17" s="11">
        <f>'24MS_Data'!AE17-MTOM_Data!AE17</f>
        <v>41.414330106039415</v>
      </c>
      <c r="AF17" s="11">
        <f>'24MS_Data'!AF17-MTOM_Data!AF17</f>
        <v>-5.1923853270419045</v>
      </c>
      <c r="AG17" s="11">
        <f>'24MS_Data'!AG17-MTOM_Data!AG17</f>
        <v>0</v>
      </c>
      <c r="AH17" s="11">
        <f>'24MS_Data'!AH17-MTOM_Data!AH17</f>
        <v>0.10473402604521453</v>
      </c>
      <c r="AI17" s="11">
        <f>'24MS_Data'!AI17-MTOM_Data!AI17</f>
        <v>-1.4244960766518489E-10</v>
      </c>
      <c r="AJ17" s="12">
        <f>'24MS_Data'!AJ17-MTOM_Data!AJ17</f>
        <v>0</v>
      </c>
      <c r="AK17" s="11">
        <f>'24MS_Data'!AK17-MTOM_Data!AK17</f>
        <v>2.4397506560944748E-3</v>
      </c>
      <c r="AL17" s="11">
        <f>'24MS_Data'!AL17-MTOM_Data!AL17</f>
        <v>0</v>
      </c>
      <c r="AM17" s="11">
        <f>'24MS_Data'!AM17-MTOM_Data!AM17</f>
        <v>1.8398138440000196</v>
      </c>
      <c r="AN17" s="10">
        <f>'24MS_Data'!AN17-MTOM_Data!AN17</f>
        <v>0</v>
      </c>
      <c r="AO17" s="11">
        <f>'24MS_Data'!AO17-MTOM_Data!AO17</f>
        <v>0</v>
      </c>
      <c r="AP17" s="12">
        <f>'24MS_Data'!AP17-MTOM_Data!AP17</f>
        <v>0</v>
      </c>
      <c r="AQ17" s="11">
        <f>'24MS_Data'!AQ17-MTOM_Data!AQ17</f>
        <v>0</v>
      </c>
      <c r="AR17" s="11">
        <f>'24MS_Data'!AR17-MTOM_Data!AR17</f>
        <v>0</v>
      </c>
      <c r="AS17" s="11">
        <f>'24MS_Data'!AS17-MTOM_Data!AS17</f>
        <v>0</v>
      </c>
      <c r="AT17" s="13">
        <f>'24MS_Data'!AT17-MTOM_Data!AT17</f>
        <v>0</v>
      </c>
      <c r="AU17" s="11">
        <f>'24MS_Data'!AU17-MTOM_Data!AU17</f>
        <v>0</v>
      </c>
      <c r="AV17" s="13">
        <f>'24MS_Data'!AV17-MTOM_Data!AV17</f>
        <v>0</v>
      </c>
    </row>
    <row r="18" spans="1:48" x14ac:dyDescent="0.25">
      <c r="A18" s="49">
        <f t="shared" si="0"/>
        <v>44530</v>
      </c>
      <c r="B18" s="10">
        <f>'24MS_Data'!B18-MTOM_Data!B18</f>
        <v>2.3827825131229474</v>
      </c>
      <c r="C18" s="11">
        <f>'24MS_Data'!C18-MTOM_Data!C18</f>
        <v>0</v>
      </c>
      <c r="D18" s="11">
        <f>'24MS_Data'!D18-MTOM_Data!D18</f>
        <v>3.475049408259693</v>
      </c>
      <c r="E18" s="11">
        <f>'24MS_Data'!E18-MTOM_Data!E18</f>
        <v>0</v>
      </c>
      <c r="F18" s="10">
        <f>'24MS_Data'!F18-MTOM_Data!F18</f>
        <v>2.2087550196856682</v>
      </c>
      <c r="G18" s="11">
        <f>'24MS_Data'!G18-MTOM_Data!G18</f>
        <v>3.4750494084375845</v>
      </c>
      <c r="H18" s="11">
        <f>'24MS_Data'!H18-MTOM_Data!H18</f>
        <v>0</v>
      </c>
      <c r="I18" s="11">
        <f>'24MS_Data'!I18-MTOM_Data!I18</f>
        <v>-42.491935649793561</v>
      </c>
      <c r="J18" s="12">
        <f>'24MS_Data'!J18-MTOM_Data!J18</f>
        <v>0</v>
      </c>
      <c r="K18" s="11">
        <f>'24MS_Data'!K18-MTOM_Data!K18</f>
        <v>-26.105837664039427</v>
      </c>
      <c r="L18" s="11">
        <f>'24MS_Data'!L18-MTOM_Data!L18</f>
        <v>0</v>
      </c>
      <c r="M18" s="11">
        <f>'24MS_Data'!M18-MTOM_Data!M18</f>
        <v>-2.0983200000100437</v>
      </c>
      <c r="N18" s="10">
        <f>'24MS_Data'!N18-MTOM_Data!N18</f>
        <v>-2.4281131889765675</v>
      </c>
      <c r="O18" s="11">
        <f>'24MS_Data'!O18-MTOM_Data!O18</f>
        <v>-2.0983199999848274</v>
      </c>
      <c r="P18" s="11">
        <f>'24MS_Data'!P18-MTOM_Data!P18</f>
        <v>0</v>
      </c>
      <c r="Q18" s="11">
        <f>'24MS_Data'!Q18-MTOM_Data!Q18</f>
        <v>0.18210847051310353</v>
      </c>
      <c r="R18" s="12">
        <f>'24MS_Data'!R18-MTOM_Data!R18</f>
        <v>0</v>
      </c>
      <c r="S18" s="11">
        <f>'24MS_Data'!S18-MTOM_Data!S18</f>
        <v>-3.4056812335957147</v>
      </c>
      <c r="T18" s="11">
        <f>'24MS_Data'!T18-MTOM_Data!T18</f>
        <v>-419.68107441445898</v>
      </c>
      <c r="U18" s="11">
        <f>'24MS_Data'!U18-MTOM_Data!U18</f>
        <v>0</v>
      </c>
      <c r="V18" s="10">
        <f>'24MS_Data'!V18-MTOM_Data!V18</f>
        <v>-18.089879888450923</v>
      </c>
      <c r="W18" s="11">
        <f>'24MS_Data'!W18-MTOM_Data!W18</f>
        <v>0</v>
      </c>
      <c r="X18" s="12">
        <f>'24MS_Data'!X18-MTOM_Data!X18</f>
        <v>-3.4945479000106356</v>
      </c>
      <c r="Y18" s="11">
        <f>'24MS_Data'!Y18-MTOM_Data!Y18</f>
        <v>-0.76675305118078541</v>
      </c>
      <c r="Z18" s="11">
        <f>'24MS_Data'!Z18-MTOM_Data!Z18</f>
        <v>-3.4945479000711543</v>
      </c>
      <c r="AA18" s="11">
        <f>'24MS_Data'!AA18-MTOM_Data!AA18</f>
        <v>0</v>
      </c>
      <c r="AB18" s="11">
        <f>'24MS_Data'!AB18-MTOM_Data!AB18</f>
        <v>-5.644628099172877E-2</v>
      </c>
      <c r="AC18" s="11">
        <f>'24MS_Data'!AC18-MTOM_Data!AC18</f>
        <v>0</v>
      </c>
      <c r="AD18" s="10">
        <f>'24MS_Data'!AD18-MTOM_Data!AD18</f>
        <v>2.5303379265096737E-2</v>
      </c>
      <c r="AE18" s="11">
        <f>'24MS_Data'!AE18-MTOM_Data!AE18</f>
        <v>2.1699242084669095</v>
      </c>
      <c r="AF18" s="11">
        <f>'24MS_Data'!AF18-MTOM_Data!AF18</f>
        <v>-42.334683977408986</v>
      </c>
      <c r="AG18" s="11">
        <f>'24MS_Data'!AG18-MTOM_Data!AG18</f>
        <v>0</v>
      </c>
      <c r="AH18" s="11">
        <f>'24MS_Data'!AH18-MTOM_Data!AH18</f>
        <v>4.9273404966250212E-2</v>
      </c>
      <c r="AI18" s="11">
        <f>'24MS_Data'!AI18-MTOM_Data!AI18</f>
        <v>8.4298790170578286E-10</v>
      </c>
      <c r="AJ18" s="12">
        <f>'24MS_Data'!AJ18-MTOM_Data!AJ18</f>
        <v>0</v>
      </c>
      <c r="AK18" s="11">
        <f>'24MS_Data'!AK18-MTOM_Data!AK18</f>
        <v>2.4353412072741776E-3</v>
      </c>
      <c r="AL18" s="11">
        <f>'24MS_Data'!AL18-MTOM_Data!AL18</f>
        <v>4.2027095332741737E-6</v>
      </c>
      <c r="AM18" s="11">
        <f>'24MS_Data'!AM18-MTOM_Data!AM18</f>
        <v>1.3443324569999788</v>
      </c>
      <c r="AN18" s="10">
        <f>'24MS_Data'!AN18-MTOM_Data!AN18</f>
        <v>0</v>
      </c>
      <c r="AO18" s="11">
        <f>'24MS_Data'!AO18-MTOM_Data!AO18</f>
        <v>4.2028259485960007E-6</v>
      </c>
      <c r="AP18" s="12">
        <f>'24MS_Data'!AP18-MTOM_Data!AP18</f>
        <v>5.999964969305438E-10</v>
      </c>
      <c r="AQ18" s="11">
        <f>'24MS_Data'!AQ18-MTOM_Data!AQ18</f>
        <v>0</v>
      </c>
      <c r="AR18" s="11">
        <f>'24MS_Data'!AR18-MTOM_Data!AR18</f>
        <v>6.3041225075721741E-6</v>
      </c>
      <c r="AS18" s="11">
        <f>'24MS_Data'!AS18-MTOM_Data!AS18</f>
        <v>3.9999940781854093E-7</v>
      </c>
      <c r="AT18" s="13">
        <f>'24MS_Data'!AT18-MTOM_Data!AT18</f>
        <v>0</v>
      </c>
      <c r="AU18" s="11">
        <f>'24MS_Data'!AU18-MTOM_Data!AU18</f>
        <v>0</v>
      </c>
      <c r="AV18" s="13">
        <f>'24MS_Data'!AV18-MTOM_Data!AV18</f>
        <v>0</v>
      </c>
    </row>
    <row r="19" spans="1:48" x14ac:dyDescent="0.25">
      <c r="A19" s="49">
        <f t="shared" si="0"/>
        <v>44561</v>
      </c>
      <c r="B19" s="10">
        <f>'24MS_Data'!B19-MTOM_Data!B19</f>
        <v>1.9850913713908085</v>
      </c>
      <c r="C19" s="11">
        <f>'24MS_Data'!C19-MTOM_Data!C19</f>
        <v>0</v>
      </c>
      <c r="D19" s="11">
        <f>'24MS_Data'!D19-MTOM_Data!D19</f>
        <v>3.590217721868143</v>
      </c>
      <c r="E19" s="11">
        <f>'24MS_Data'!E19-MTOM_Data!E19</f>
        <v>0</v>
      </c>
      <c r="F19" s="10">
        <f>'24MS_Data'!F19-MTOM_Data!F19</f>
        <v>2.7899222112855568</v>
      </c>
      <c r="G19" s="11">
        <f>'24MS_Data'!G19-MTOM_Data!G19</f>
        <v>3.590217721776952</v>
      </c>
      <c r="H19" s="11">
        <f>'24MS_Data'!H19-MTOM_Data!H19</f>
        <v>0</v>
      </c>
      <c r="I19" s="11">
        <f>'24MS_Data'!I19-MTOM_Data!I19</f>
        <v>-18.206309469622497</v>
      </c>
      <c r="J19" s="12">
        <f>'24MS_Data'!J19-MTOM_Data!J19</f>
        <v>0</v>
      </c>
      <c r="K19" s="11">
        <f>'24MS_Data'!K19-MTOM_Data!K19</f>
        <v>-26.662409940943689</v>
      </c>
      <c r="L19" s="11">
        <f>'24MS_Data'!L19-MTOM_Data!L19</f>
        <v>0</v>
      </c>
      <c r="M19" s="11">
        <f>'24MS_Data'!M19-MTOM_Data!M19</f>
        <v>0.51999999999328139</v>
      </c>
      <c r="N19" s="10">
        <f>'24MS_Data'!N19-MTOM_Data!N19</f>
        <v>1.2658066929125198</v>
      </c>
      <c r="O19" s="11">
        <f>'24MS_Data'!O19-MTOM_Data!O19</f>
        <v>0.51999999989941159</v>
      </c>
      <c r="P19" s="11">
        <f>'24MS_Data'!P19-MTOM_Data!P19</f>
        <v>0</v>
      </c>
      <c r="Q19" s="11">
        <f>'24MS_Data'!Q19-MTOM_Data!Q19</f>
        <v>-28.658529636851426</v>
      </c>
      <c r="R19" s="12">
        <f>'24MS_Data'!R19-MTOM_Data!R19</f>
        <v>0</v>
      </c>
      <c r="S19" s="11">
        <f>'24MS_Data'!S19-MTOM_Data!S19</f>
        <v>-3.4066457020990129</v>
      </c>
      <c r="T19" s="11">
        <f>'24MS_Data'!T19-MTOM_Data!T19</f>
        <v>-1122.6000399747118</v>
      </c>
      <c r="U19" s="11">
        <f>'24MS_Data'!U19-MTOM_Data!U19</f>
        <v>0</v>
      </c>
      <c r="V19" s="10">
        <f>'24MS_Data'!V19-MTOM_Data!V19</f>
        <v>-17.036236056430425</v>
      </c>
      <c r="W19" s="11">
        <f>'24MS_Data'!W19-MTOM_Data!W19</f>
        <v>0</v>
      </c>
      <c r="X19" s="12">
        <f>'24MS_Data'!X19-MTOM_Data!X19</f>
        <v>-0.94622625484205924</v>
      </c>
      <c r="Y19" s="11">
        <f>'24MS_Data'!Y19-MTOM_Data!Y19</f>
        <v>-0.83823375984229642</v>
      </c>
      <c r="Z19" s="11">
        <f>'24MS_Data'!Z19-MTOM_Data!Z19</f>
        <v>-0.94622625484219824</v>
      </c>
      <c r="AA19" s="11">
        <f>'24MS_Data'!AA19-MTOM_Data!AA19</f>
        <v>0</v>
      </c>
      <c r="AB19" s="11">
        <f>'24MS_Data'!AB19-MTOM_Data!AB19</f>
        <v>-6.0661157024799905E-2</v>
      </c>
      <c r="AC19" s="11">
        <f>'24MS_Data'!AC19-MTOM_Data!AC19</f>
        <v>0</v>
      </c>
      <c r="AD19" s="10">
        <f>'24MS_Data'!AD19-MTOM_Data!AD19</f>
        <v>-0.491339993438487</v>
      </c>
      <c r="AE19" s="11">
        <f>'24MS_Data'!AE19-MTOM_Data!AE19</f>
        <v>-41.221845147792919</v>
      </c>
      <c r="AF19" s="11">
        <f>'24MS_Data'!AF19-MTOM_Data!AF19</f>
        <v>-46.899421595707167</v>
      </c>
      <c r="AG19" s="11">
        <f>'24MS_Data'!AG19-MTOM_Data!AG19</f>
        <v>0</v>
      </c>
      <c r="AH19" s="11">
        <f>'24MS_Data'!AH19-MTOM_Data!AH19</f>
        <v>-3.6311727936794824E-2</v>
      </c>
      <c r="AI19" s="11">
        <f>'24MS_Data'!AI19-MTOM_Data!AI19</f>
        <v>-6.9667294155806303E-10</v>
      </c>
      <c r="AJ19" s="12">
        <f>'24MS_Data'!AJ19-MTOM_Data!AJ19</f>
        <v>0</v>
      </c>
      <c r="AK19" s="11">
        <f>'24MS_Data'!AK19-MTOM_Data!AK19</f>
        <v>2.4013221784571215E-3</v>
      </c>
      <c r="AL19" s="11">
        <f>'24MS_Data'!AL19-MTOM_Data!AL19</f>
        <v>0</v>
      </c>
      <c r="AM19" s="11">
        <f>'24MS_Data'!AM19-MTOM_Data!AM19</f>
        <v>1.8409861480000131</v>
      </c>
      <c r="AN19" s="10">
        <f>'24MS_Data'!AN19-MTOM_Data!AN19</f>
        <v>0</v>
      </c>
      <c r="AO19" s="11">
        <f>'24MS_Data'!AO19-MTOM_Data!AO19</f>
        <v>0</v>
      </c>
      <c r="AP19" s="12">
        <f>'24MS_Data'!AP19-MTOM_Data!AP19</f>
        <v>9.9994679203518899E-11</v>
      </c>
      <c r="AQ19" s="11">
        <f>'24MS_Data'!AQ19-MTOM_Data!AQ19</f>
        <v>0</v>
      </c>
      <c r="AR19" s="11">
        <f>'24MS_Data'!AR19-MTOM_Data!AR19</f>
        <v>0</v>
      </c>
      <c r="AS19" s="11">
        <f>'24MS_Data'!AS19-MTOM_Data!AS19</f>
        <v>0</v>
      </c>
      <c r="AT19" s="13">
        <f>'24MS_Data'!AT19-MTOM_Data!AT19</f>
        <v>0</v>
      </c>
      <c r="AU19" s="11">
        <f>'24MS_Data'!AU19-MTOM_Data!AU19</f>
        <v>0</v>
      </c>
      <c r="AV19" s="13">
        <f>'24MS_Data'!AV19-MTOM_Data!AV19</f>
        <v>0</v>
      </c>
    </row>
    <row r="20" spans="1:48" x14ac:dyDescent="0.25">
      <c r="A20" s="49">
        <f t="shared" si="0"/>
        <v>44592</v>
      </c>
      <c r="B20" s="10">
        <f>'24MS_Data'!B20-MTOM_Data!B20</f>
        <v>1.7681432742792822</v>
      </c>
      <c r="C20" s="11">
        <f>'24MS_Data'!C20-MTOM_Data!C20</f>
        <v>0</v>
      </c>
      <c r="D20" s="11">
        <f>'24MS_Data'!D20-MTOM_Data!D20</f>
        <v>3.590217721868143</v>
      </c>
      <c r="E20" s="11">
        <f>'24MS_Data'!E20-MTOM_Data!E20</f>
        <v>0</v>
      </c>
      <c r="F20" s="10">
        <f>'24MS_Data'!F20-MTOM_Data!F20</f>
        <v>2.4258564304464016</v>
      </c>
      <c r="G20" s="11">
        <f>'24MS_Data'!G20-MTOM_Data!G20</f>
        <v>3.5902177217769662</v>
      </c>
      <c r="H20" s="11">
        <f>'24MS_Data'!H20-MTOM_Data!H20</f>
        <v>0</v>
      </c>
      <c r="I20" s="11">
        <f>'24MS_Data'!I20-MTOM_Data!I20</f>
        <v>17.388595041295773</v>
      </c>
      <c r="J20" s="12">
        <f>'24MS_Data'!J20-MTOM_Data!J20</f>
        <v>0</v>
      </c>
      <c r="K20" s="11">
        <f>'24MS_Data'!K20-MTOM_Data!K20</f>
        <v>-27.419415780839699</v>
      </c>
      <c r="L20" s="11">
        <f>'24MS_Data'!L20-MTOM_Data!L20</f>
        <v>0</v>
      </c>
      <c r="M20" s="11">
        <f>'24MS_Data'!M20-MTOM_Data!M20</f>
        <v>0.58842975206612103</v>
      </c>
      <c r="N20" s="10">
        <f>'24MS_Data'!N20-MTOM_Data!N20</f>
        <v>2.8410229002611231</v>
      </c>
      <c r="O20" s="11">
        <f>'24MS_Data'!O20-MTOM_Data!O20</f>
        <v>0.58842975214596649</v>
      </c>
      <c r="P20" s="11">
        <f>'24MS_Data'!P20-MTOM_Data!P20</f>
        <v>0</v>
      </c>
      <c r="Q20" s="11">
        <f>'24MS_Data'!Q20-MTOM_Data!Q20</f>
        <v>-11.413320393089784</v>
      </c>
      <c r="R20" s="12">
        <f>'24MS_Data'!R20-MTOM_Data!R20</f>
        <v>0</v>
      </c>
      <c r="S20" s="11">
        <f>'24MS_Data'!S20-MTOM_Data!S20</f>
        <v>-3.4066457020990129</v>
      </c>
      <c r="T20" s="11">
        <f>'24MS_Data'!T20-MTOM_Data!T20</f>
        <v>-842.15072110727851</v>
      </c>
      <c r="U20" s="11">
        <f>'24MS_Data'!U20-MTOM_Data!U20</f>
        <v>0</v>
      </c>
      <c r="V20" s="10">
        <f>'24MS_Data'!V20-MTOM_Data!V20</f>
        <v>-15.116973326771586</v>
      </c>
      <c r="W20" s="11">
        <f>'24MS_Data'!W20-MTOM_Data!W20</f>
        <v>0</v>
      </c>
      <c r="X20" s="12">
        <f>'24MS_Data'!X20-MTOM_Data!X20</f>
        <v>-3.4739177558376135</v>
      </c>
      <c r="Y20" s="11">
        <f>'24MS_Data'!Y20-MTOM_Data!Y20</f>
        <v>-1.1119014763789892</v>
      </c>
      <c r="Z20" s="11">
        <f>'24MS_Data'!Z20-MTOM_Data!Z20</f>
        <v>-3.4739177557726073</v>
      </c>
      <c r="AA20" s="11">
        <f>'24MS_Data'!AA20-MTOM_Data!AA20</f>
        <v>0</v>
      </c>
      <c r="AB20" s="11">
        <f>'24MS_Data'!AB20-MTOM_Data!AB20</f>
        <v>-6.0661157024799905E-2</v>
      </c>
      <c r="AC20" s="11">
        <f>'24MS_Data'!AC20-MTOM_Data!AC20</f>
        <v>0</v>
      </c>
      <c r="AD20" s="10">
        <f>'24MS_Data'!AD20-MTOM_Data!AD20</f>
        <v>-0.43830892388496068</v>
      </c>
      <c r="AE20" s="11">
        <f>'24MS_Data'!AE20-MTOM_Data!AE20</f>
        <v>-35.699114457614996</v>
      </c>
      <c r="AF20" s="11">
        <f>'24MS_Data'!AF20-MTOM_Data!AF20</f>
        <v>5.9396393806751462</v>
      </c>
      <c r="AG20" s="11">
        <f>'24MS_Data'!AG20-MTOM_Data!AG20</f>
        <v>0</v>
      </c>
      <c r="AH20" s="11">
        <f>'24MS_Data'!AH20-MTOM_Data!AH20</f>
        <v>-2.4909776329654854E-2</v>
      </c>
      <c r="AI20" s="11">
        <f>'24MS_Data'!AI20-MTOM_Data!AI20</f>
        <v>4.9351456254953519E-10</v>
      </c>
      <c r="AJ20" s="12">
        <f>'24MS_Data'!AJ20-MTOM_Data!AJ20</f>
        <v>0</v>
      </c>
      <c r="AK20" s="11">
        <f>'24MS_Data'!AK20-MTOM_Data!AK20</f>
        <v>2.3552099735297816E-3</v>
      </c>
      <c r="AL20" s="11">
        <f>'24MS_Data'!AL20-MTOM_Data!AL20</f>
        <v>-4.3428153730928898E-6</v>
      </c>
      <c r="AM20" s="11">
        <f>'24MS_Data'!AM20-MTOM_Data!AM20</f>
        <v>1.7875804239999695</v>
      </c>
      <c r="AN20" s="10">
        <f>'24MS_Data'!AN20-MTOM_Data!AN20</f>
        <v>0</v>
      </c>
      <c r="AO20" s="11">
        <f>'24MS_Data'!AO20-MTOM_Data!AO20</f>
        <v>-4.3428735807538033E-6</v>
      </c>
      <c r="AP20" s="12">
        <f>'24MS_Data'!AP20-MTOM_Data!AP20</f>
        <v>-5.999964969305438E-10</v>
      </c>
      <c r="AQ20" s="11">
        <f>'24MS_Data'!AQ20-MTOM_Data!AQ20</f>
        <v>0</v>
      </c>
      <c r="AR20" s="11">
        <f>'24MS_Data'!AR20-MTOM_Data!AR20</f>
        <v>-4.3428444769233465E-6</v>
      </c>
      <c r="AS20" s="11">
        <f>'24MS_Data'!AS20-MTOM_Data!AS20</f>
        <v>-3.0000046535860747E-7</v>
      </c>
      <c r="AT20" s="13">
        <f>'24MS_Data'!AT20-MTOM_Data!AT20</f>
        <v>0</v>
      </c>
      <c r="AU20" s="11">
        <f>'24MS_Data'!AU20-MTOM_Data!AU20</f>
        <v>0</v>
      </c>
      <c r="AV20" s="13">
        <f>'24MS_Data'!AV20-MTOM_Data!AV20</f>
        <v>0</v>
      </c>
    </row>
    <row r="21" spans="1:48" x14ac:dyDescent="0.25">
      <c r="A21" s="49">
        <f t="shared" si="0"/>
        <v>44620</v>
      </c>
      <c r="B21" s="10">
        <f>'24MS_Data'!B21-MTOM_Data!B21</f>
        <v>1.3367407152227315</v>
      </c>
      <c r="C21" s="11">
        <f>'24MS_Data'!C21-MTOM_Data!C21</f>
        <v>0</v>
      </c>
      <c r="D21" s="11">
        <f>'24MS_Data'!D21-MTOM_Data!D21</f>
        <v>3.2447127810419261</v>
      </c>
      <c r="E21" s="11">
        <f>'24MS_Data'!E21-MTOM_Data!E21</f>
        <v>0</v>
      </c>
      <c r="F21" s="10">
        <f>'24MS_Data'!F21-MTOM_Data!F21</f>
        <v>2.19608228346533</v>
      </c>
      <c r="G21" s="11">
        <f>'24MS_Data'!G21-MTOM_Data!G21</f>
        <v>3.2447127811003611</v>
      </c>
      <c r="H21" s="11">
        <f>'24MS_Data'!H21-MTOM_Data!H21</f>
        <v>0</v>
      </c>
      <c r="I21" s="11">
        <f>'24MS_Data'!I21-MTOM_Data!I21</f>
        <v>11.810944285103631</v>
      </c>
      <c r="J21" s="12">
        <f>'24MS_Data'!J21-MTOM_Data!J21</f>
        <v>0</v>
      </c>
      <c r="K21" s="11">
        <f>'24MS_Data'!K21-MTOM_Data!K21</f>
        <v>-28.091026410760605</v>
      </c>
      <c r="L21" s="11">
        <f>'24MS_Data'!L21-MTOM_Data!L21</f>
        <v>0</v>
      </c>
      <c r="M21" s="11">
        <f>'24MS_Data'!M21-MTOM_Data!M21</f>
        <v>0.386990247937681</v>
      </c>
      <c r="N21" s="10">
        <f>'24MS_Data'!N21-MTOM_Data!N21</f>
        <v>3.6312635170597787</v>
      </c>
      <c r="O21" s="11">
        <f>'24MS_Data'!O21-MTOM_Data!O21</f>
        <v>0.38699024786482639</v>
      </c>
      <c r="P21" s="11">
        <f>'24MS_Data'!P21-MTOM_Data!P21</f>
        <v>0</v>
      </c>
      <c r="Q21" s="11">
        <f>'24MS_Data'!Q21-MTOM_Data!Q21</f>
        <v>-5.4186573274487131</v>
      </c>
      <c r="R21" s="12">
        <f>'24MS_Data'!R21-MTOM_Data!R21</f>
        <v>0</v>
      </c>
      <c r="S21" s="11">
        <f>'24MS_Data'!S21-MTOM_Data!S21</f>
        <v>-3.4039451443568396</v>
      </c>
      <c r="T21" s="11">
        <f>'24MS_Data'!T21-MTOM_Data!T21</f>
        <v>-758.26346049482436</v>
      </c>
      <c r="U21" s="11">
        <f>'24MS_Data'!U21-MTOM_Data!U21</f>
        <v>0</v>
      </c>
      <c r="V21" s="10">
        <f>'24MS_Data'!V21-MTOM_Data!V21</f>
        <v>-13.530462171915133</v>
      </c>
      <c r="W21" s="11">
        <f>'24MS_Data'!W21-MTOM_Data!W21</f>
        <v>0</v>
      </c>
      <c r="X21" s="12">
        <f>'24MS_Data'!X21-MTOM_Data!X21</f>
        <v>-2.9728811812827027</v>
      </c>
      <c r="Y21" s="11">
        <f>'24MS_Data'!Y21-MTOM_Data!Y21</f>
        <v>-1.3378165682406689</v>
      </c>
      <c r="Z21" s="11">
        <f>'24MS_Data'!Z21-MTOM_Data!Z21</f>
        <v>-2.9728811813510667</v>
      </c>
      <c r="AA21" s="11">
        <f>'24MS_Data'!AA21-MTOM_Data!AA21</f>
        <v>0</v>
      </c>
      <c r="AB21" s="11">
        <f>'24MS_Data'!AB21-MTOM_Data!AB21</f>
        <v>-5.8016528925580957E-2</v>
      </c>
      <c r="AC21" s="11">
        <f>'24MS_Data'!AC21-MTOM_Data!AC21</f>
        <v>0</v>
      </c>
      <c r="AD21" s="10">
        <f>'24MS_Data'!AD21-MTOM_Data!AD21</f>
        <v>-0.37437985564292831</v>
      </c>
      <c r="AE21" s="11">
        <f>'24MS_Data'!AE21-MTOM_Data!AE21</f>
        <v>-29.786305141751654</v>
      </c>
      <c r="AF21" s="11">
        <f>'24MS_Data'!AF21-MTOM_Data!AF21</f>
        <v>6.3617883775032738</v>
      </c>
      <c r="AG21" s="11">
        <f>'24MS_Data'!AG21-MTOM_Data!AG21</f>
        <v>0</v>
      </c>
      <c r="AH21" s="11">
        <f>'24MS_Data'!AH21-MTOM_Data!AH21</f>
        <v>-2.4045689362537814E-2</v>
      </c>
      <c r="AI21" s="11">
        <f>'24MS_Data'!AI21-MTOM_Data!AI21</f>
        <v>-5.5979398894123733E-10</v>
      </c>
      <c r="AJ21" s="12">
        <f>'24MS_Data'!AJ21-MTOM_Data!AJ21</f>
        <v>0</v>
      </c>
      <c r="AK21" s="11">
        <f>'24MS_Data'!AK21-MTOM_Data!AK21</f>
        <v>2.3246916009611596E-3</v>
      </c>
      <c r="AL21" s="11">
        <f>'24MS_Data'!AL21-MTOM_Data!AL21</f>
        <v>0</v>
      </c>
      <c r="AM21" s="11">
        <f>'24MS_Data'!AM21-MTOM_Data!AM21</f>
        <v>1.4728937470000005</v>
      </c>
      <c r="AN21" s="10">
        <f>'24MS_Data'!AN21-MTOM_Data!AN21</f>
        <v>0</v>
      </c>
      <c r="AO21" s="11">
        <f>'24MS_Data'!AO21-MTOM_Data!AO21</f>
        <v>0</v>
      </c>
      <c r="AP21" s="12">
        <f>'24MS_Data'!AP21-MTOM_Data!AP21</f>
        <v>0</v>
      </c>
      <c r="AQ21" s="11">
        <f>'24MS_Data'!AQ21-MTOM_Data!AQ21</f>
        <v>0</v>
      </c>
      <c r="AR21" s="11">
        <f>'24MS_Data'!AR21-MTOM_Data!AR21</f>
        <v>0</v>
      </c>
      <c r="AS21" s="11">
        <f>'24MS_Data'!AS21-MTOM_Data!AS21</f>
        <v>0</v>
      </c>
      <c r="AT21" s="13">
        <f>'24MS_Data'!AT21-MTOM_Data!AT21</f>
        <v>0</v>
      </c>
      <c r="AU21" s="11">
        <f>'24MS_Data'!AU21-MTOM_Data!AU21</f>
        <v>0</v>
      </c>
      <c r="AV21" s="13">
        <f>'24MS_Data'!AV21-MTOM_Data!AV21</f>
        <v>0</v>
      </c>
    </row>
    <row r="22" spans="1:48" x14ac:dyDescent="0.25">
      <c r="A22" s="49">
        <f t="shared" si="0"/>
        <v>44651</v>
      </c>
      <c r="B22" s="10">
        <f>'24MS_Data'!B22-MTOM_Data!B22</f>
        <v>1.5211634514434991</v>
      </c>
      <c r="C22" s="11">
        <f>'24MS_Data'!C22-MTOM_Data!C22</f>
        <v>0</v>
      </c>
      <c r="D22" s="11">
        <f>'24MS_Data'!D22-MTOM_Data!D22</f>
        <v>-0.22978227813175067</v>
      </c>
      <c r="E22" s="11">
        <f>'24MS_Data'!E22-MTOM_Data!E22</f>
        <v>0</v>
      </c>
      <c r="F22" s="10">
        <f>'24MS_Data'!F22-MTOM_Data!F22</f>
        <v>1.4200428477688547</v>
      </c>
      <c r="G22" s="11">
        <f>'24MS_Data'!G22-MTOM_Data!G22</f>
        <v>-0.22978227821070618</v>
      </c>
      <c r="H22" s="11">
        <f>'24MS_Data'!H22-MTOM_Data!H22</f>
        <v>0</v>
      </c>
      <c r="I22" s="11">
        <f>'24MS_Data'!I22-MTOM_Data!I22</f>
        <v>28.95394820944405</v>
      </c>
      <c r="J22" s="12">
        <f>'24MS_Data'!J22-MTOM_Data!J22</f>
        <v>0</v>
      </c>
      <c r="K22" s="11">
        <f>'24MS_Data'!K22-MTOM_Data!K22</f>
        <v>-27.454770702099268</v>
      </c>
      <c r="L22" s="11">
        <f>'24MS_Data'!L22-MTOM_Data!L22</f>
        <v>0</v>
      </c>
      <c r="M22" s="11">
        <f>'24MS_Data'!M22-MTOM_Data!M22</f>
        <v>-1.5291700000074266</v>
      </c>
      <c r="N22" s="10">
        <f>'24MS_Data'!N22-MTOM_Data!N22</f>
        <v>3.9858941272977972</v>
      </c>
      <c r="O22" s="11">
        <f>'24MS_Data'!O22-MTOM_Data!O22</f>
        <v>-1.5291700000578601</v>
      </c>
      <c r="P22" s="11">
        <f>'24MS_Data'!P22-MTOM_Data!P22</f>
        <v>0</v>
      </c>
      <c r="Q22" s="11">
        <f>'24MS_Data'!Q22-MTOM_Data!Q22</f>
        <v>-4.1798951573887067</v>
      </c>
      <c r="R22" s="12">
        <f>'24MS_Data'!R22-MTOM_Data!R22</f>
        <v>0</v>
      </c>
      <c r="S22" s="11">
        <f>'24MS_Data'!S22-MTOM_Data!S22</f>
        <v>-3.4066457020990129</v>
      </c>
      <c r="T22" s="11">
        <f>'24MS_Data'!T22-MTOM_Data!T22</f>
        <v>-796.53234441262782</v>
      </c>
      <c r="U22" s="11">
        <f>'24MS_Data'!U22-MTOM_Data!U22</f>
        <v>0</v>
      </c>
      <c r="V22" s="10">
        <f>'24MS_Data'!V22-MTOM_Data!V22</f>
        <v>-10.687215977690357</v>
      </c>
      <c r="W22" s="11">
        <f>'24MS_Data'!W22-MTOM_Data!W22</f>
        <v>0</v>
      </c>
      <c r="X22" s="12">
        <f>'24MS_Data'!X22-MTOM_Data!X22</f>
        <v>-5.3987508157074373</v>
      </c>
      <c r="Y22" s="11">
        <f>'24MS_Data'!Y22-MTOM_Data!Y22</f>
        <v>-2.0036203740164638</v>
      </c>
      <c r="Z22" s="11">
        <f>'24MS_Data'!Z22-MTOM_Data!Z22</f>
        <v>-5.3987508157075723</v>
      </c>
      <c r="AA22" s="11">
        <f>'24MS_Data'!AA22-MTOM_Data!AA22</f>
        <v>0</v>
      </c>
      <c r="AB22" s="11">
        <f>'24MS_Data'!AB22-MTOM_Data!AB22</f>
        <v>3.8093388429752366</v>
      </c>
      <c r="AC22" s="11">
        <f>'24MS_Data'!AC22-MTOM_Data!AC22</f>
        <v>0</v>
      </c>
      <c r="AD22" s="10">
        <f>'24MS_Data'!AD22-MTOM_Data!AD22</f>
        <v>-4.1493503937090281E-2</v>
      </c>
      <c r="AE22" s="11">
        <f>'24MS_Data'!AE22-MTOM_Data!AE22</f>
        <v>-3.2419459113789344</v>
      </c>
      <c r="AF22" s="11">
        <f>'24MS_Data'!AF22-MTOM_Data!AF22</f>
        <v>28.647271939311622</v>
      </c>
      <c r="AG22" s="11">
        <f>'24MS_Data'!AG22-MTOM_Data!AG22</f>
        <v>0</v>
      </c>
      <c r="AH22" s="11">
        <f>'24MS_Data'!AH22-MTOM_Data!AH22</f>
        <v>-2.0635373886497277E-2</v>
      </c>
      <c r="AI22" s="11">
        <f>'24MS_Data'!AI22-MTOM_Data!AI22</f>
        <v>9.1404217528179288E-10</v>
      </c>
      <c r="AJ22" s="12">
        <f>'24MS_Data'!AJ22-MTOM_Data!AJ22</f>
        <v>0</v>
      </c>
      <c r="AK22" s="11">
        <f>'24MS_Data'!AK22-MTOM_Data!AK22</f>
        <v>2.3355905511834862E-3</v>
      </c>
      <c r="AL22" s="11">
        <f>'24MS_Data'!AL22-MTOM_Data!AL22</f>
        <v>2.171611413359642E-6</v>
      </c>
      <c r="AM22" s="11">
        <f>'24MS_Data'!AM22-MTOM_Data!AM22</f>
        <v>1.1185773849999237</v>
      </c>
      <c r="AN22" s="10">
        <f>'24MS_Data'!AN22-MTOM_Data!AN22</f>
        <v>0</v>
      </c>
      <c r="AO22" s="11">
        <f>'24MS_Data'!AO22-MTOM_Data!AO22</f>
        <v>2.1713785827159882E-6</v>
      </c>
      <c r="AP22" s="12">
        <f>'24MS_Data'!AP22-MTOM_Data!AP22</f>
        <v>0</v>
      </c>
      <c r="AQ22" s="11">
        <f>'24MS_Data'!AQ22-MTOM_Data!AQ22</f>
        <v>0</v>
      </c>
      <c r="AR22" s="11">
        <f>'24MS_Data'!AR22-MTOM_Data!AR22</f>
        <v>0</v>
      </c>
      <c r="AS22" s="11">
        <f>'24MS_Data'!AS22-MTOM_Data!AS22</f>
        <v>1.0000076144933701E-7</v>
      </c>
      <c r="AT22" s="13">
        <f>'24MS_Data'!AT22-MTOM_Data!AT22</f>
        <v>0</v>
      </c>
      <c r="AU22" s="11">
        <f>'24MS_Data'!AU22-MTOM_Data!AU22</f>
        <v>0</v>
      </c>
      <c r="AV22" s="13">
        <f>'24MS_Data'!AV22-MTOM_Data!AV22</f>
        <v>0</v>
      </c>
    </row>
    <row r="23" spans="1:48" x14ac:dyDescent="0.25">
      <c r="A23" s="49">
        <f t="shared" si="0"/>
        <v>44681</v>
      </c>
      <c r="B23" s="10">
        <f>'24MS_Data'!B23-MTOM_Data!B23</f>
        <v>5.8046485892382407</v>
      </c>
      <c r="C23" s="11">
        <f>'24MS_Data'!C23-MTOM_Data!C23</f>
        <v>0</v>
      </c>
      <c r="D23" s="11">
        <f>'24MS_Data'!D23-MTOM_Data!D23</f>
        <v>-17.669384822767668</v>
      </c>
      <c r="E23" s="11">
        <f>'24MS_Data'!E23-MTOM_Data!E23</f>
        <v>0</v>
      </c>
      <c r="F23" s="10">
        <f>'24MS_Data'!F23-MTOM_Data!F23</f>
        <v>0.23306778215192026</v>
      </c>
      <c r="G23" s="11">
        <f>'24MS_Data'!G23-MTOM_Data!G23</f>
        <v>-17.669384822755845</v>
      </c>
      <c r="H23" s="11">
        <f>'24MS_Data'!H23-MTOM_Data!H23</f>
        <v>0</v>
      </c>
      <c r="I23" s="11">
        <f>'24MS_Data'!I23-MTOM_Data!I23</f>
        <v>28.025111170429483</v>
      </c>
      <c r="J23" s="12">
        <f>'24MS_Data'!J23-MTOM_Data!J23</f>
        <v>0</v>
      </c>
      <c r="K23" s="11">
        <f>'24MS_Data'!K23-MTOM_Data!K23</f>
        <v>-28.394248031496318</v>
      </c>
      <c r="L23" s="11">
        <f>'24MS_Data'!L23-MTOM_Data!L23</f>
        <v>0</v>
      </c>
      <c r="M23" s="11">
        <f>'24MS_Data'!M23-MTOM_Data!M23</f>
        <v>0.48847000000758101</v>
      </c>
      <c r="N23" s="10">
        <f>'24MS_Data'!N23-MTOM_Data!N23</f>
        <v>1.732066601050974</v>
      </c>
      <c r="O23" s="11">
        <f>'24MS_Data'!O23-MTOM_Data!O23</f>
        <v>0.48847000004958829</v>
      </c>
      <c r="P23" s="11">
        <f>'24MS_Data'!P23-MTOM_Data!P23</f>
        <v>0</v>
      </c>
      <c r="Q23" s="11">
        <f>'24MS_Data'!Q23-MTOM_Data!Q23</f>
        <v>17.310358464482348</v>
      </c>
      <c r="R23" s="12">
        <f>'24MS_Data'!R23-MTOM_Data!R23</f>
        <v>0</v>
      </c>
      <c r="S23" s="11">
        <f>'24MS_Data'!S23-MTOM_Data!S23</f>
        <v>-3.4036249671908081</v>
      </c>
      <c r="T23" s="11">
        <f>'24MS_Data'!T23-MTOM_Data!T23</f>
        <v>-986.56881977216381</v>
      </c>
      <c r="U23" s="11">
        <f>'24MS_Data'!U23-MTOM_Data!U23</f>
        <v>0</v>
      </c>
      <c r="V23" s="10">
        <f>'24MS_Data'!V23-MTOM_Data!V23</f>
        <v>-8.9758794619428954</v>
      </c>
      <c r="W23" s="11">
        <f>'24MS_Data'!W23-MTOM_Data!W23</f>
        <v>0</v>
      </c>
      <c r="X23" s="12">
        <f>'24MS_Data'!X23-MTOM_Data!X23</f>
        <v>-1.6305024544311317</v>
      </c>
      <c r="Y23" s="11">
        <f>'24MS_Data'!Y23-MTOM_Data!Y23</f>
        <v>-2.6675687992128587</v>
      </c>
      <c r="Z23" s="11">
        <f>'24MS_Data'!Z23-MTOM_Data!Z23</f>
        <v>-1.6305024543521256</v>
      </c>
      <c r="AA23" s="11">
        <f>'24MS_Data'!AA23-MTOM_Data!AA23</f>
        <v>0</v>
      </c>
      <c r="AB23" s="11">
        <f>'24MS_Data'!AB23-MTOM_Data!AB23</f>
        <v>8.8635537190082871</v>
      </c>
      <c r="AC23" s="11">
        <f>'24MS_Data'!AC23-MTOM_Data!AC23</f>
        <v>0</v>
      </c>
      <c r="AD23" s="10">
        <f>'24MS_Data'!AD23-MTOM_Data!AD23</f>
        <v>0.593844717848242</v>
      </c>
      <c r="AE23" s="11">
        <f>'24MS_Data'!AE23-MTOM_Data!AE23</f>
        <v>46.994463830333189</v>
      </c>
      <c r="AF23" s="11">
        <f>'24MS_Data'!AF23-MTOM_Data!AF23</f>
        <v>54.298003731755557</v>
      </c>
      <c r="AG23" s="11">
        <f>'24MS_Data'!AG23-MTOM_Data!AG23</f>
        <v>0</v>
      </c>
      <c r="AH23" s="11">
        <f>'24MS_Data'!AH23-MTOM_Data!AH23</f>
        <v>4.2682449872692985E-2</v>
      </c>
      <c r="AI23" s="11">
        <f>'24MS_Data'!AI23-MTOM_Data!AI23</f>
        <v>-8.3741724665742368E-10</v>
      </c>
      <c r="AJ23" s="12">
        <f>'24MS_Data'!AJ23-MTOM_Data!AJ23</f>
        <v>0</v>
      </c>
      <c r="AK23" s="11">
        <f>'24MS_Data'!AK23-MTOM_Data!AK23</f>
        <v>2.3643930444450234E-3</v>
      </c>
      <c r="AL23" s="11">
        <f>'24MS_Data'!AL23-MTOM_Data!AL23</f>
        <v>9.2460191808640957E-5</v>
      </c>
      <c r="AM23" s="11">
        <f>'24MS_Data'!AM23-MTOM_Data!AM23</f>
        <v>0.95485424800000374</v>
      </c>
      <c r="AN23" s="10">
        <f>'24MS_Data'!AN23-MTOM_Data!AN23</f>
        <v>0</v>
      </c>
      <c r="AO23" s="11">
        <f>'24MS_Data'!AO23-MTOM_Data!AO23</f>
        <v>5.0432863645255566E-5</v>
      </c>
      <c r="AP23" s="12">
        <f>'24MS_Data'!AP23-MTOM_Data!AP23</f>
        <v>6.0000076018695836E-9</v>
      </c>
      <c r="AQ23" s="11">
        <f>'24MS_Data'!AQ23-MTOM_Data!AQ23</f>
        <v>0</v>
      </c>
      <c r="AR23" s="11">
        <f>'24MS_Data'!AR23-MTOM_Data!AR23</f>
        <v>4.8331567086279392E-5</v>
      </c>
      <c r="AS23" s="11">
        <f>'24MS_Data'!AS23-MTOM_Data!AS23</f>
        <v>3.2999960239976645E-6</v>
      </c>
      <c r="AT23" s="13">
        <f>'24MS_Data'!AT23-MTOM_Data!AT23</f>
        <v>0</v>
      </c>
      <c r="AU23" s="11">
        <f>'24MS_Data'!AU23-MTOM_Data!AU23</f>
        <v>0</v>
      </c>
      <c r="AV23" s="13">
        <f>'24MS_Data'!AV23-MTOM_Data!AV23</f>
        <v>0</v>
      </c>
    </row>
    <row r="24" spans="1:48" x14ac:dyDescent="0.25">
      <c r="A24" s="49">
        <f t="shared" si="0"/>
        <v>44712</v>
      </c>
      <c r="B24" s="10">
        <f>'24MS_Data'!B24-MTOM_Data!B24</f>
        <v>4.9921971784769994</v>
      </c>
      <c r="C24" s="11">
        <f>'24MS_Data'!C24-MTOM_Data!C24</f>
        <v>0</v>
      </c>
      <c r="D24" s="11">
        <f>'24MS_Data'!D24-MTOM_Data!D24</f>
        <v>-5.350920868087897</v>
      </c>
      <c r="E24" s="11">
        <f>'24MS_Data'!E24-MTOM_Data!E24</f>
        <v>0</v>
      </c>
      <c r="F24" s="10">
        <f>'24MS_Data'!F24-MTOM_Data!F24</f>
        <v>0.80425426509100362</v>
      </c>
      <c r="G24" s="11">
        <f>'24MS_Data'!G24-MTOM_Data!G24</f>
        <v>-5.3509208680036409</v>
      </c>
      <c r="H24" s="11">
        <f>'24MS_Data'!H24-MTOM_Data!H24</f>
        <v>0</v>
      </c>
      <c r="I24" s="11">
        <f>'24MS_Data'!I24-MTOM_Data!I24</f>
        <v>-28.165679658620874</v>
      </c>
      <c r="J24" s="12">
        <f>'24MS_Data'!J24-MTOM_Data!J24</f>
        <v>0</v>
      </c>
      <c r="K24" s="11">
        <f>'24MS_Data'!K24-MTOM_Data!K24</f>
        <v>-23.540684678477191</v>
      </c>
      <c r="L24" s="11">
        <f>'24MS_Data'!L24-MTOM_Data!L24</f>
        <v>0</v>
      </c>
      <c r="M24" s="11">
        <f>'24MS_Data'!M24-MTOM_Data!M24</f>
        <v>0.98447999998625235</v>
      </c>
      <c r="N24" s="10">
        <f>'24MS_Data'!N24-MTOM_Data!N24</f>
        <v>-4.4678072506567332</v>
      </c>
      <c r="O24" s="11">
        <f>'24MS_Data'!O24-MTOM_Data!O24</f>
        <v>0.98448000014943204</v>
      </c>
      <c r="P24" s="11">
        <f>'24MS_Data'!P24-MTOM_Data!P24</f>
        <v>0</v>
      </c>
      <c r="Q24" s="11">
        <f>'24MS_Data'!Q24-MTOM_Data!Q24</f>
        <v>49.786033052816521</v>
      </c>
      <c r="R24" s="12">
        <f>'24MS_Data'!R24-MTOM_Data!R24</f>
        <v>4.1662097720763311</v>
      </c>
      <c r="S24" s="11">
        <f>'24MS_Data'!S24-MTOM_Data!S24</f>
        <v>-3.4066457020990129</v>
      </c>
      <c r="T24" s="11">
        <f>'24MS_Data'!T24-MTOM_Data!T24</f>
        <v>-3312.8415704027984</v>
      </c>
      <c r="U24" s="11">
        <f>'24MS_Data'!U24-MTOM_Data!U24</f>
        <v>47.998885526765775</v>
      </c>
      <c r="V24" s="10">
        <f>'24MS_Data'!V24-MTOM_Data!V24</f>
        <v>-3.9866961942261696</v>
      </c>
      <c r="W24" s="11">
        <f>'24MS_Data'!W24-MTOM_Data!W24</f>
        <v>0</v>
      </c>
      <c r="X24" s="12">
        <f>'24MS_Data'!X24-MTOM_Data!X24</f>
        <v>-11.330022201069035</v>
      </c>
      <c r="Y24" s="11">
        <f>'24MS_Data'!Y24-MTOM_Data!Y24</f>
        <v>-7.9948680118104676</v>
      </c>
      <c r="Z24" s="11">
        <f>'24MS_Data'!Z24-MTOM_Data!Z24</f>
        <v>-11.330022201775648</v>
      </c>
      <c r="AA24" s="11">
        <f>'24MS_Data'!AA24-MTOM_Data!AA24</f>
        <v>0</v>
      </c>
      <c r="AB24" s="11">
        <f>'24MS_Data'!AB24-MTOM_Data!AB24</f>
        <v>64.721735537105886</v>
      </c>
      <c r="AC24" s="11">
        <f>'24MS_Data'!AC24-MTOM_Data!AC24</f>
        <v>0</v>
      </c>
      <c r="AD24" s="10">
        <f>'24MS_Data'!AD24-MTOM_Data!AD24</f>
        <v>1.4678497047248129</v>
      </c>
      <c r="AE24" s="11">
        <f>'24MS_Data'!AE24-MTOM_Data!AE24</f>
        <v>126.90044022960501</v>
      </c>
      <c r="AF24" s="11">
        <f>'24MS_Data'!AF24-MTOM_Data!AF24</f>
        <v>86.490100457282324</v>
      </c>
      <c r="AG24" s="11">
        <f>'24MS_Data'!AG24-MTOM_Data!AG24</f>
        <v>0</v>
      </c>
      <c r="AH24" s="11">
        <f>'24MS_Data'!AH24-MTOM_Data!AH24</f>
        <v>0.19164578675110988</v>
      </c>
      <c r="AI24" s="11">
        <f>'24MS_Data'!AI24-MTOM_Data!AI24</f>
        <v>-6.2971139414003119E-10</v>
      </c>
      <c r="AJ24" s="12">
        <f>'24MS_Data'!AJ24-MTOM_Data!AJ24</f>
        <v>0</v>
      </c>
      <c r="AK24" s="11">
        <f>'24MS_Data'!AK24-MTOM_Data!AK24</f>
        <v>2.3939402885844174E-3</v>
      </c>
      <c r="AL24" s="11">
        <f>'24MS_Data'!AL24-MTOM_Data!AL24</f>
        <v>1.0857125744223595E-5</v>
      </c>
      <c r="AM24" s="11">
        <f>'24MS_Data'!AM24-MTOM_Data!AM24</f>
        <v>1.3509579419999795</v>
      </c>
      <c r="AN24" s="10">
        <f>'24MS_Data'!AN24-MTOM_Data!AN24</f>
        <v>0</v>
      </c>
      <c r="AO24" s="11">
        <f>'24MS_Data'!AO24-MTOM_Data!AO24</f>
        <v>0</v>
      </c>
      <c r="AP24" s="12">
        <f>'24MS_Data'!AP24-MTOM_Data!AP24</f>
        <v>2.0000072709080996E-9</v>
      </c>
      <c r="AQ24" s="11">
        <f>'24MS_Data'!AQ24-MTOM_Data!AQ24</f>
        <v>0</v>
      </c>
      <c r="AR24" s="11">
        <f>'24MS_Data'!AR24-MTOM_Data!AR24</f>
        <v>0</v>
      </c>
      <c r="AS24" s="11">
        <f>'24MS_Data'!AS24-MTOM_Data!AS24</f>
        <v>0</v>
      </c>
      <c r="AT24" s="13">
        <f>'24MS_Data'!AT24-MTOM_Data!AT24</f>
        <v>0</v>
      </c>
      <c r="AU24" s="11">
        <f>'24MS_Data'!AU24-MTOM_Data!AU24</f>
        <v>0</v>
      </c>
      <c r="AV24" s="13">
        <f>'24MS_Data'!AV24-MTOM_Data!AV24</f>
        <v>0</v>
      </c>
    </row>
    <row r="25" spans="1:48" x14ac:dyDescent="0.25">
      <c r="A25" s="49">
        <f t="shared" si="0"/>
        <v>44742</v>
      </c>
      <c r="B25" s="10">
        <f>'24MS_Data'!B25-MTOM_Data!B25</f>
        <v>-0.2513110892396071</v>
      </c>
      <c r="C25" s="11">
        <f>'24MS_Data'!C25-MTOM_Data!C25</f>
        <v>0</v>
      </c>
      <c r="D25" s="11">
        <f>'24MS_Data'!D25-MTOM_Data!D25</f>
        <v>30.714729999815376</v>
      </c>
      <c r="E25" s="11">
        <f>'24MS_Data'!E25-MTOM_Data!E25</f>
        <v>29.623786641108659</v>
      </c>
      <c r="F25" s="10">
        <f>'24MS_Data'!F25-MTOM_Data!F25</f>
        <v>1.4319213582675729</v>
      </c>
      <c r="G25" s="11">
        <f>'24MS_Data'!G25-MTOM_Data!G25</f>
        <v>30.714729999623842</v>
      </c>
      <c r="H25" s="11">
        <f>'24MS_Data'!H25-MTOM_Data!H25</f>
        <v>0</v>
      </c>
      <c r="I25" s="11">
        <f>'24MS_Data'!I25-MTOM_Data!I25</f>
        <v>5.0730040689078919</v>
      </c>
      <c r="J25" s="12">
        <f>'24MS_Data'!J25-MTOM_Data!J25</f>
        <v>0</v>
      </c>
      <c r="K25" s="11">
        <f>'24MS_Data'!K25-MTOM_Data!K25</f>
        <v>-20.005900459316763</v>
      </c>
      <c r="L25" s="11">
        <f>'24MS_Data'!L25-MTOM_Data!L25</f>
        <v>0</v>
      </c>
      <c r="M25" s="11">
        <f>'24MS_Data'!M25-MTOM_Data!M25</f>
        <v>1.4840200000003883</v>
      </c>
      <c r="N25" s="10">
        <f>'24MS_Data'!N25-MTOM_Data!N25</f>
        <v>-2.2847025918645159</v>
      </c>
      <c r="O25" s="11">
        <f>'24MS_Data'!O25-MTOM_Data!O25</f>
        <v>1.4840199999373738</v>
      </c>
      <c r="P25" s="11">
        <f>'24MS_Data'!P25-MTOM_Data!P25</f>
        <v>0</v>
      </c>
      <c r="Q25" s="11">
        <f>'24MS_Data'!Q25-MTOM_Data!Q25</f>
        <v>-13.322171925434702</v>
      </c>
      <c r="R25" s="12">
        <f>'24MS_Data'!R25-MTOM_Data!R25</f>
        <v>0</v>
      </c>
      <c r="S25" s="11">
        <f>'24MS_Data'!S25-MTOM_Data!S25</f>
        <v>-3.4012817585298762</v>
      </c>
      <c r="T25" s="11">
        <f>'24MS_Data'!T25-MTOM_Data!T25</f>
        <v>-1725.7768310377542</v>
      </c>
      <c r="U25" s="11">
        <f>'24MS_Data'!U25-MTOM_Data!U25</f>
        <v>0</v>
      </c>
      <c r="V25" s="10">
        <f>'24MS_Data'!V25-MTOM_Data!V25</f>
        <v>-6.0074971456688218</v>
      </c>
      <c r="W25" s="11">
        <f>'24MS_Data'!W25-MTOM_Data!W25</f>
        <v>0</v>
      </c>
      <c r="X25" s="12">
        <f>'24MS_Data'!X25-MTOM_Data!X25</f>
        <v>5.4638491493638952</v>
      </c>
      <c r="Y25" s="11">
        <f>'24MS_Data'!Y25-MTOM_Data!Y25</f>
        <v>-13.835226345144292</v>
      </c>
      <c r="Z25" s="11">
        <f>'24MS_Data'!Z25-MTOM_Data!Z25</f>
        <v>5.4638491492797243</v>
      </c>
      <c r="AA25" s="11">
        <f>'24MS_Data'!AA25-MTOM_Data!AA25</f>
        <v>0</v>
      </c>
      <c r="AB25" s="11">
        <f>'24MS_Data'!AB25-MTOM_Data!AB25</f>
        <v>78.460205392588136</v>
      </c>
      <c r="AC25" s="11">
        <f>'24MS_Data'!AC25-MTOM_Data!AC25</f>
        <v>0</v>
      </c>
      <c r="AD25" s="10">
        <f>'24MS_Data'!AD25-MTOM_Data!AD25</f>
        <v>2.0343523293968246</v>
      </c>
      <c r="AE25" s="11">
        <f>'24MS_Data'!AE25-MTOM_Data!AE25</f>
        <v>191.6206806659975</v>
      </c>
      <c r="AF25" s="11">
        <f>'24MS_Data'!AF25-MTOM_Data!AF25</f>
        <v>70.386885664066085</v>
      </c>
      <c r="AG25" s="11">
        <f>'24MS_Data'!AG25-MTOM_Data!AG25</f>
        <v>0</v>
      </c>
      <c r="AH25" s="11">
        <f>'24MS_Data'!AH25-MTOM_Data!AH25</f>
        <v>0.48902579895244003</v>
      </c>
      <c r="AI25" s="11">
        <f>'24MS_Data'!AI25-MTOM_Data!AI25</f>
        <v>1.7053025658242404E-12</v>
      </c>
      <c r="AJ25" s="12">
        <f>'24MS_Data'!AJ25-MTOM_Data!AJ25</f>
        <v>0</v>
      </c>
      <c r="AK25" s="11">
        <f>'24MS_Data'!AK25-MTOM_Data!AK25</f>
        <v>2.4135498688337975E-3</v>
      </c>
      <c r="AL25" s="11">
        <f>'24MS_Data'!AL25-MTOM_Data!AL25</f>
        <v>-5.6737102568149567E-5</v>
      </c>
      <c r="AM25" s="11">
        <f>'24MS_Data'!AM25-MTOM_Data!AM25</f>
        <v>1.4188111479999748</v>
      </c>
      <c r="AN25" s="10">
        <f>'24MS_Data'!AN25-MTOM_Data!AN25</f>
        <v>0</v>
      </c>
      <c r="AO25" s="11">
        <f>'24MS_Data'!AO25-MTOM_Data!AO25</f>
        <v>-4.2027095332741737E-6</v>
      </c>
      <c r="AP25" s="12">
        <f>'24MS_Data'!AP25-MTOM_Data!AP25</f>
        <v>0</v>
      </c>
      <c r="AQ25" s="11">
        <f>'24MS_Data'!AQ25-MTOM_Data!AQ25</f>
        <v>0</v>
      </c>
      <c r="AR25" s="11">
        <f>'24MS_Data'!AR25-MTOM_Data!AR25</f>
        <v>-6.3040060922503471E-6</v>
      </c>
      <c r="AS25" s="11">
        <f>'24MS_Data'!AS25-MTOM_Data!AS25</f>
        <v>-3.0000228434801102E-7</v>
      </c>
      <c r="AT25" s="13">
        <f>'24MS_Data'!AT25-MTOM_Data!AT25</f>
        <v>0</v>
      </c>
      <c r="AU25" s="11">
        <f>'24MS_Data'!AU25-MTOM_Data!AU25</f>
        <v>0</v>
      </c>
      <c r="AV25" s="13">
        <f>'24MS_Data'!AV25-MTOM_Data!AV25</f>
        <v>0</v>
      </c>
    </row>
    <row r="26" spans="1:48" x14ac:dyDescent="0.25">
      <c r="A26" s="49">
        <f t="shared" si="0"/>
        <v>44773</v>
      </c>
      <c r="B26" s="10">
        <f>'24MS_Data'!B26-MTOM_Data!B26</f>
        <v>-1.7699432414701732</v>
      </c>
      <c r="C26" s="11">
        <f>'24MS_Data'!C26-MTOM_Data!C26</f>
        <v>0</v>
      </c>
      <c r="D26" s="11">
        <f>'24MS_Data'!D26-MTOM_Data!D26</f>
        <v>12.101282519672509</v>
      </c>
      <c r="E26" s="11">
        <f>'24MS_Data'!E26-MTOM_Data!E26</f>
        <v>11.140500545611207</v>
      </c>
      <c r="F26" s="10">
        <f>'24MS_Data'!F26-MTOM_Data!F26</f>
        <v>3.0286513451437713</v>
      </c>
      <c r="G26" s="11">
        <f>'24MS_Data'!G26-MTOM_Data!G26</f>
        <v>12.101282519640364</v>
      </c>
      <c r="H26" s="11">
        <f>'24MS_Data'!H26-MTOM_Data!H26</f>
        <v>0</v>
      </c>
      <c r="I26" s="11">
        <f>'24MS_Data'!I26-MTOM_Data!I26</f>
        <v>-53.955813825728889</v>
      </c>
      <c r="J26" s="12">
        <f>'24MS_Data'!J26-MTOM_Data!J26</f>
        <v>0</v>
      </c>
      <c r="K26" s="11">
        <f>'24MS_Data'!K26-MTOM_Data!K26</f>
        <v>-20.720156889765349</v>
      </c>
      <c r="L26" s="11">
        <f>'24MS_Data'!L26-MTOM_Data!L26</f>
        <v>0</v>
      </c>
      <c r="M26" s="11">
        <f>'24MS_Data'!M26-MTOM_Data!M26</f>
        <v>0.39795000000711767</v>
      </c>
      <c r="N26" s="10">
        <f>'24MS_Data'!N26-MTOM_Data!N26</f>
        <v>2.2632880249338996</v>
      </c>
      <c r="O26" s="11">
        <f>'24MS_Data'!O26-MTOM_Data!O26</f>
        <v>0.39795000006314751</v>
      </c>
      <c r="P26" s="11">
        <f>'24MS_Data'!P26-MTOM_Data!P26</f>
        <v>0</v>
      </c>
      <c r="Q26" s="11">
        <f>'24MS_Data'!Q26-MTOM_Data!Q26</f>
        <v>-40.624452552609782</v>
      </c>
      <c r="R26" s="12">
        <f>'24MS_Data'!R26-MTOM_Data!R26</f>
        <v>0</v>
      </c>
      <c r="S26" s="11">
        <f>'24MS_Data'!S26-MTOM_Data!S26</f>
        <v>-3.4066457020990129</v>
      </c>
      <c r="T26" s="11">
        <f>'24MS_Data'!T26-MTOM_Data!T26</f>
        <v>-2159.0995598407771</v>
      </c>
      <c r="U26" s="11">
        <f>'24MS_Data'!U26-MTOM_Data!U26</f>
        <v>-4.6079793022222528</v>
      </c>
      <c r="V26" s="10">
        <f>'24MS_Data'!V26-MTOM_Data!V26</f>
        <v>-6.3008866469817804</v>
      </c>
      <c r="W26" s="11">
        <f>'24MS_Data'!W26-MTOM_Data!W26</f>
        <v>0</v>
      </c>
      <c r="X26" s="12">
        <f>'24MS_Data'!X26-MTOM_Data!X26</f>
        <v>0.17172496587348718</v>
      </c>
      <c r="Y26" s="11">
        <f>'24MS_Data'!Y26-MTOM_Data!Y26</f>
        <v>-12.612643864828897</v>
      </c>
      <c r="Z26" s="11">
        <f>'24MS_Data'!Z26-MTOM_Data!Z26</f>
        <v>0.17172496584741737</v>
      </c>
      <c r="AA26" s="11">
        <f>'24MS_Data'!AA26-MTOM_Data!AA26</f>
        <v>0</v>
      </c>
      <c r="AB26" s="11">
        <f>'24MS_Data'!AB26-MTOM_Data!AB26</f>
        <v>-19.123630207967302</v>
      </c>
      <c r="AC26" s="11">
        <f>'24MS_Data'!AC26-MTOM_Data!AC26</f>
        <v>0</v>
      </c>
      <c r="AD26" s="10">
        <f>'24MS_Data'!AD26-MTOM_Data!AD26</f>
        <v>0.90943648293932711</v>
      </c>
      <c r="AE26" s="11">
        <f>'24MS_Data'!AE26-MTOM_Data!AE26</f>
        <v>86.071598355341848</v>
      </c>
      <c r="AF26" s="11">
        <f>'24MS_Data'!AF26-MTOM_Data!AF26</f>
        <v>-113.50653989729722</v>
      </c>
      <c r="AG26" s="11">
        <f>'24MS_Data'!AG26-MTOM_Data!AG26</f>
        <v>0</v>
      </c>
      <c r="AH26" s="11">
        <f>'24MS_Data'!AH26-MTOM_Data!AH26</f>
        <v>0.48646630824580939</v>
      </c>
      <c r="AI26" s="11">
        <f>'24MS_Data'!AI26-MTOM_Data!AI26</f>
        <v>-3.7824747778358869E-9</v>
      </c>
      <c r="AJ26" s="12">
        <f>'24MS_Data'!AJ26-MTOM_Data!AJ26</f>
        <v>0</v>
      </c>
      <c r="AK26" s="11">
        <f>'24MS_Data'!AK26-MTOM_Data!AK26</f>
        <v>2.4066961943844944E-3</v>
      </c>
      <c r="AL26" s="11">
        <f>'24MS_Data'!AL26-MTOM_Data!AL26</f>
        <v>4.7771143727004528E-5</v>
      </c>
      <c r="AM26" s="11">
        <f>'24MS_Data'!AM26-MTOM_Data!AM26</f>
        <v>1.5991252889999714</v>
      </c>
      <c r="AN26" s="10">
        <f>'24MS_Data'!AN26-MTOM_Data!AN26</f>
        <v>0</v>
      </c>
      <c r="AO26" s="11">
        <f>'24MS_Data'!AO26-MTOM_Data!AO26</f>
        <v>4.9942405894398689E-5</v>
      </c>
      <c r="AP26" s="12">
        <f>'24MS_Data'!AP26-MTOM_Data!AP26</f>
        <v>5.9999933910148684E-9</v>
      </c>
      <c r="AQ26" s="11">
        <f>'24MS_Data'!AQ26-MTOM_Data!AQ26</f>
        <v>0</v>
      </c>
      <c r="AR26" s="11">
        <f>'24MS_Data'!AR26-MTOM_Data!AR26</f>
        <v>4.9942522309720516E-5</v>
      </c>
      <c r="AS26" s="11">
        <f>'24MS_Data'!AS26-MTOM_Data!AS26</f>
        <v>3.3999967854470015E-6</v>
      </c>
      <c r="AT26" s="13">
        <f>'24MS_Data'!AT26-MTOM_Data!AT26</f>
        <v>0</v>
      </c>
      <c r="AU26" s="11">
        <f>'24MS_Data'!AU26-MTOM_Data!AU26</f>
        <v>0</v>
      </c>
      <c r="AV26" s="13">
        <f>'24MS_Data'!AV26-MTOM_Data!AV26</f>
        <v>0</v>
      </c>
    </row>
    <row r="27" spans="1:48" x14ac:dyDescent="0.25">
      <c r="A27" s="49">
        <f t="shared" si="0"/>
        <v>44804</v>
      </c>
      <c r="B27" s="10">
        <f>'24MS_Data'!B27-MTOM_Data!B27</f>
        <v>0.92227368766361906</v>
      </c>
      <c r="C27" s="11">
        <f>'24MS_Data'!C27-MTOM_Data!C27</f>
        <v>0</v>
      </c>
      <c r="D27" s="11">
        <f>'24MS_Data'!D27-MTOM_Data!D27</f>
        <v>-21.173852525915279</v>
      </c>
      <c r="E27" s="11">
        <f>'24MS_Data'!E27-MTOM_Data!E27</f>
        <v>0</v>
      </c>
      <c r="F27" s="10">
        <f>'24MS_Data'!F27-MTOM_Data!F27</f>
        <v>3.2670622703417393</v>
      </c>
      <c r="G27" s="11">
        <f>'24MS_Data'!G27-MTOM_Data!G27</f>
        <v>-21.173852525896891</v>
      </c>
      <c r="H27" s="11">
        <f>'24MS_Data'!H27-MTOM_Data!H27</f>
        <v>0</v>
      </c>
      <c r="I27" s="11">
        <f>'24MS_Data'!I27-MTOM_Data!I27</f>
        <v>-30.875959944162176</v>
      </c>
      <c r="J27" s="12">
        <f>'24MS_Data'!J27-MTOM_Data!J27</f>
        <v>0</v>
      </c>
      <c r="K27" s="11">
        <f>'24MS_Data'!K27-MTOM_Data!K27</f>
        <v>-20.339640748030433</v>
      </c>
      <c r="L27" s="11">
        <f>'24MS_Data'!L27-MTOM_Data!L27</f>
        <v>0</v>
      </c>
      <c r="M27" s="11">
        <f>'24MS_Data'!M27-MTOM_Data!M27</f>
        <v>-3.5843500000331971</v>
      </c>
      <c r="N27" s="10">
        <f>'24MS_Data'!N27-MTOM_Data!N27</f>
        <v>5.3379132217851293</v>
      </c>
      <c r="O27" s="11">
        <f>'24MS_Data'!O27-MTOM_Data!O27</f>
        <v>-3.5843499999000841</v>
      </c>
      <c r="P27" s="11">
        <f>'24MS_Data'!P27-MTOM_Data!P27</f>
        <v>0</v>
      </c>
      <c r="Q27" s="11">
        <f>'24MS_Data'!Q27-MTOM_Data!Q27</f>
        <v>-30.598163930572639</v>
      </c>
      <c r="R27" s="12">
        <f>'24MS_Data'!R27-MTOM_Data!R27</f>
        <v>0</v>
      </c>
      <c r="S27" s="11">
        <f>'24MS_Data'!S27-MTOM_Data!S27</f>
        <v>-3.4066457020990129</v>
      </c>
      <c r="T27" s="11">
        <f>'24MS_Data'!T27-MTOM_Data!T27</f>
        <v>-1996.8760479791924</v>
      </c>
      <c r="U27" s="11">
        <f>'24MS_Data'!U27-MTOM_Data!U27</f>
        <v>0</v>
      </c>
      <c r="V27" s="10">
        <f>'24MS_Data'!V27-MTOM_Data!V27</f>
        <v>-6.0073613188978925</v>
      </c>
      <c r="W27" s="11">
        <f>'24MS_Data'!W27-MTOM_Data!W27</f>
        <v>0</v>
      </c>
      <c r="X27" s="12">
        <f>'24MS_Data'!X27-MTOM_Data!X27</f>
        <v>-1.7927723678420975</v>
      </c>
      <c r="Y27" s="11">
        <f>'24MS_Data'!Y27-MTOM_Data!Y27</f>
        <v>-11.187763549868578</v>
      </c>
      <c r="Z27" s="11">
        <f>'24MS_Data'!Z27-MTOM_Data!Z27</f>
        <v>-1.7927723678356884</v>
      </c>
      <c r="AA27" s="11">
        <f>'24MS_Data'!AA27-MTOM_Data!AA27</f>
        <v>0</v>
      </c>
      <c r="AB27" s="11">
        <f>'24MS_Data'!AB27-MTOM_Data!AB27</f>
        <v>-23.103630207967299</v>
      </c>
      <c r="AC27" s="11">
        <f>'24MS_Data'!AC27-MTOM_Data!AC27</f>
        <v>0</v>
      </c>
      <c r="AD27" s="10">
        <f>'24MS_Data'!AD27-MTOM_Data!AD27</f>
        <v>8.3318602362396632E-2</v>
      </c>
      <c r="AE27" s="11">
        <f>'24MS_Data'!AE27-MTOM_Data!AE27</f>
        <v>7.7436027100247884</v>
      </c>
      <c r="AF27" s="11">
        <f>'24MS_Data'!AF27-MTOM_Data!AF27</f>
        <v>-84.431951071947879</v>
      </c>
      <c r="AG27" s="11">
        <f>'24MS_Data'!AG27-MTOM_Data!AG27</f>
        <v>0</v>
      </c>
      <c r="AH27" s="11">
        <f>'24MS_Data'!AH27-MTOM_Data!AH27</f>
        <v>0.16229236702668004</v>
      </c>
      <c r="AI27" s="11">
        <f>'24MS_Data'!AI27-MTOM_Data!AI27</f>
        <v>2.3844677343731746E-9</v>
      </c>
      <c r="AJ27" s="12">
        <f>'24MS_Data'!AJ27-MTOM_Data!AJ27</f>
        <v>0</v>
      </c>
      <c r="AK27" s="11">
        <f>'24MS_Data'!AK27-MTOM_Data!AK27</f>
        <v>2.3897769028735638E-3</v>
      </c>
      <c r="AL27" s="11">
        <f>'24MS_Data'!AL27-MTOM_Data!AL27</f>
        <v>4.3427571654319763E-6</v>
      </c>
      <c r="AM27" s="11">
        <f>'24MS_Data'!AM27-MTOM_Data!AM27</f>
        <v>1.6400674849999746</v>
      </c>
      <c r="AN27" s="10">
        <f>'24MS_Data'!AN27-MTOM_Data!AN27</f>
        <v>0</v>
      </c>
      <c r="AO27" s="11">
        <f>'24MS_Data'!AO27-MTOM_Data!AO27</f>
        <v>4.3428735807538033E-6</v>
      </c>
      <c r="AP27" s="12">
        <f>'24MS_Data'!AP27-MTOM_Data!AP27</f>
        <v>5.999964969305438E-10</v>
      </c>
      <c r="AQ27" s="11">
        <f>'24MS_Data'!AQ27-MTOM_Data!AQ27</f>
        <v>0</v>
      </c>
      <c r="AR27" s="11">
        <f>'24MS_Data'!AR27-MTOM_Data!AR27</f>
        <v>4.3427571654319763E-6</v>
      </c>
      <c r="AS27" s="11">
        <f>'24MS_Data'!AS27-MTOM_Data!AS27</f>
        <v>3.0000228434801102E-7</v>
      </c>
      <c r="AT27" s="13">
        <f>'24MS_Data'!AT27-MTOM_Data!AT27</f>
        <v>0</v>
      </c>
      <c r="AU27" s="11">
        <f>'24MS_Data'!AU27-MTOM_Data!AU27</f>
        <v>0</v>
      </c>
      <c r="AV27" s="13">
        <f>'24MS_Data'!AV27-MTOM_Data!AV27</f>
        <v>0</v>
      </c>
    </row>
    <row r="28" spans="1:48" x14ac:dyDescent="0.25">
      <c r="A28" s="49">
        <f t="shared" si="0"/>
        <v>44834</v>
      </c>
      <c r="B28" s="10">
        <f>'24MS_Data'!B28-MTOM_Data!B28</f>
        <v>1.3475799212592392</v>
      </c>
      <c r="C28" s="11">
        <f>'24MS_Data'!C28-MTOM_Data!C28</f>
        <v>0</v>
      </c>
      <c r="D28" s="11">
        <f>'24MS_Data'!D28-MTOM_Data!D28</f>
        <v>-2.9672449870924851</v>
      </c>
      <c r="E28" s="11">
        <f>'24MS_Data'!E28-MTOM_Data!E28</f>
        <v>0</v>
      </c>
      <c r="F28" s="10">
        <f>'24MS_Data'!F28-MTOM_Data!F28</f>
        <v>3.7160032808396863</v>
      </c>
      <c r="G28" s="11">
        <f>'24MS_Data'!G28-MTOM_Data!G28</f>
        <v>-2.9672449869915454</v>
      </c>
      <c r="H28" s="11">
        <f>'24MS_Data'!H28-MTOM_Data!H28</f>
        <v>0</v>
      </c>
      <c r="I28" s="11">
        <f>'24MS_Data'!I28-MTOM_Data!I28</f>
        <v>-20.24320752190053</v>
      </c>
      <c r="J28" s="12">
        <f>'24MS_Data'!J28-MTOM_Data!J28</f>
        <v>0</v>
      </c>
      <c r="K28" s="11">
        <f>'24MS_Data'!K28-MTOM_Data!K28</f>
        <v>-19.94863536745288</v>
      </c>
      <c r="L28" s="11">
        <f>'24MS_Data'!L28-MTOM_Data!L28</f>
        <v>0</v>
      </c>
      <c r="M28" s="11">
        <f>'24MS_Data'!M28-MTOM_Data!M28</f>
        <v>-4.5083199999226444</v>
      </c>
      <c r="N28" s="10">
        <f>'24MS_Data'!N28-MTOM_Data!N28</f>
        <v>8.9355768700788758</v>
      </c>
      <c r="O28" s="11">
        <f>'24MS_Data'!O28-MTOM_Data!O28</f>
        <v>-4.5083200001327626</v>
      </c>
      <c r="P28" s="11">
        <f>'24MS_Data'!P28-MTOM_Data!P28</f>
        <v>0</v>
      </c>
      <c r="Q28" s="11">
        <f>'24MS_Data'!Q28-MTOM_Data!Q28</f>
        <v>-33.790767960349797</v>
      </c>
      <c r="R28" s="12">
        <f>'24MS_Data'!R28-MTOM_Data!R28</f>
        <v>0</v>
      </c>
      <c r="S28" s="11">
        <f>'24MS_Data'!S28-MTOM_Data!S28</f>
        <v>-3.4028864501315184</v>
      </c>
      <c r="T28" s="11">
        <f>'24MS_Data'!T28-MTOM_Data!T28</f>
        <v>-2070.6477568511878</v>
      </c>
      <c r="U28" s="11">
        <f>'24MS_Data'!U28-MTOM_Data!U28</f>
        <v>-33.715053745337876</v>
      </c>
      <c r="V28" s="10">
        <f>'24MS_Data'!V28-MTOM_Data!V28</f>
        <v>-5.2940104986864753</v>
      </c>
      <c r="W28" s="11">
        <f>'24MS_Data'!W28-MTOM_Data!W28</f>
        <v>0</v>
      </c>
      <c r="X28" s="12">
        <f>'24MS_Data'!X28-MTOM_Data!X28</f>
        <v>-2.4825747482278722</v>
      </c>
      <c r="Y28" s="11">
        <f>'24MS_Data'!Y28-MTOM_Data!Y28</f>
        <v>-8.2022140091867186</v>
      </c>
      <c r="Z28" s="11">
        <f>'24MS_Data'!Z28-MTOM_Data!Z28</f>
        <v>-2.4825747482548053</v>
      </c>
      <c r="AA28" s="11">
        <f>'24MS_Data'!AA28-MTOM_Data!AA28</f>
        <v>0</v>
      </c>
      <c r="AB28" s="11">
        <f>'24MS_Data'!AB28-MTOM_Data!AB28</f>
        <v>-42.281445587432437</v>
      </c>
      <c r="AC28" s="11">
        <f>'24MS_Data'!AC28-MTOM_Data!AC28</f>
        <v>0</v>
      </c>
      <c r="AD28" s="10">
        <f>'24MS_Data'!AD28-MTOM_Data!AD28</f>
        <v>-0.88082762467229259</v>
      </c>
      <c r="AE28" s="11">
        <f>'24MS_Data'!AE28-MTOM_Data!AE28</f>
        <v>-81.212852634438605</v>
      </c>
      <c r="AF28" s="11">
        <f>'24MS_Data'!AF28-MTOM_Data!AF28</f>
        <v>-96.192222087839866</v>
      </c>
      <c r="AG28" s="11">
        <f>'24MS_Data'!AG28-MTOM_Data!AG28</f>
        <v>0</v>
      </c>
      <c r="AH28" s="11">
        <f>'24MS_Data'!AH28-MTOM_Data!AH28</f>
        <v>-0.11925265311766964</v>
      </c>
      <c r="AI28" s="11">
        <f>'24MS_Data'!AI28-MTOM_Data!AI28</f>
        <v>2.3533743842563126E-8</v>
      </c>
      <c r="AJ28" s="12">
        <f>'24MS_Data'!AJ28-MTOM_Data!AJ28</f>
        <v>0</v>
      </c>
      <c r="AK28" s="11">
        <f>'24MS_Data'!AK28-MTOM_Data!AK28</f>
        <v>2.3889534120371536E-3</v>
      </c>
      <c r="AL28" s="11">
        <f>'24MS_Data'!AL28-MTOM_Data!AL28</f>
        <v>4.2027095332741737E-6</v>
      </c>
      <c r="AM28" s="11">
        <f>'24MS_Data'!AM28-MTOM_Data!AM28</f>
        <v>1.6336436360000448</v>
      </c>
      <c r="AN28" s="10">
        <f>'24MS_Data'!AN28-MTOM_Data!AN28</f>
        <v>0</v>
      </c>
      <c r="AO28" s="11">
        <f>'24MS_Data'!AO28-MTOM_Data!AO28</f>
        <v>4.2028259485960007E-6</v>
      </c>
      <c r="AP28" s="12">
        <f>'24MS_Data'!AP28-MTOM_Data!AP28</f>
        <v>6.00010707785259E-10</v>
      </c>
      <c r="AQ28" s="11">
        <f>'24MS_Data'!AQ28-MTOM_Data!AQ28</f>
        <v>0</v>
      </c>
      <c r="AR28" s="11">
        <f>'24MS_Data'!AR28-MTOM_Data!AR28</f>
        <v>4.2025931179523468E-6</v>
      </c>
      <c r="AS28" s="11">
        <f>'24MS_Data'!AS28-MTOM_Data!AS28</f>
        <v>3.0000228434801102E-7</v>
      </c>
      <c r="AT28" s="13">
        <f>'24MS_Data'!AT28-MTOM_Data!AT28</f>
        <v>0</v>
      </c>
      <c r="AU28" s="11">
        <f>'24MS_Data'!AU28-MTOM_Data!AU28</f>
        <v>0</v>
      </c>
      <c r="AV28" s="13">
        <f>'24MS_Data'!AV28-MTOM_Data!AV28</f>
        <v>0</v>
      </c>
    </row>
    <row r="29" spans="1:48" x14ac:dyDescent="0.25">
      <c r="A29" s="49">
        <f t="shared" si="0"/>
        <v>44865</v>
      </c>
      <c r="B29" s="10">
        <f>'24MS_Data'!B29-MTOM_Data!B29</f>
        <v>0</v>
      </c>
      <c r="C29" s="11">
        <f>'24MS_Data'!C29-MTOM_Data!C29</f>
        <v>0</v>
      </c>
      <c r="D29" s="11">
        <f>'24MS_Data'!D29-MTOM_Data!D29</f>
        <v>0</v>
      </c>
      <c r="E29" s="11">
        <f>'24MS_Data'!E29-MTOM_Data!E29</f>
        <v>0</v>
      </c>
      <c r="F29" s="10">
        <f>'24MS_Data'!F29-MTOM_Data!F29</f>
        <v>0</v>
      </c>
      <c r="G29" s="11">
        <f>'24MS_Data'!G29-MTOM_Data!G29</f>
        <v>0</v>
      </c>
      <c r="H29" s="11">
        <f>'24MS_Data'!H29-MTOM_Data!H29</f>
        <v>0</v>
      </c>
      <c r="I29" s="11">
        <f>'24MS_Data'!I29-MTOM_Data!I29</f>
        <v>0</v>
      </c>
      <c r="J29" s="12">
        <f>'24MS_Data'!J29-MTOM_Data!J29</f>
        <v>0</v>
      </c>
      <c r="K29" s="11">
        <f>'24MS_Data'!K29-MTOM_Data!K29</f>
        <v>0</v>
      </c>
      <c r="L29" s="11">
        <f>'24MS_Data'!L29-MTOM_Data!L29</f>
        <v>0</v>
      </c>
      <c r="M29" s="11">
        <f>'24MS_Data'!M29-MTOM_Data!M29</f>
        <v>0</v>
      </c>
      <c r="N29" s="10">
        <f>'24MS_Data'!N29-MTOM_Data!N29</f>
        <v>0</v>
      </c>
      <c r="O29" s="11">
        <f>'24MS_Data'!O29-MTOM_Data!O29</f>
        <v>0</v>
      </c>
      <c r="P29" s="11">
        <f>'24MS_Data'!P29-MTOM_Data!P29</f>
        <v>0</v>
      </c>
      <c r="Q29" s="11">
        <f>'24MS_Data'!Q29-MTOM_Data!Q29</f>
        <v>0</v>
      </c>
      <c r="R29" s="12">
        <f>'24MS_Data'!R29-MTOM_Data!R29</f>
        <v>0</v>
      </c>
      <c r="S29" s="11">
        <f>'24MS_Data'!S29-MTOM_Data!S29</f>
        <v>0</v>
      </c>
      <c r="T29" s="11">
        <f>'24MS_Data'!T29-MTOM_Data!T29</f>
        <v>0</v>
      </c>
      <c r="U29" s="11">
        <f>'24MS_Data'!U29-MTOM_Data!U29</f>
        <v>0</v>
      </c>
      <c r="V29" s="10">
        <f>'24MS_Data'!V29-MTOM_Data!V29</f>
        <v>0</v>
      </c>
      <c r="W29" s="11">
        <f>'24MS_Data'!W29-MTOM_Data!W29</f>
        <v>0</v>
      </c>
      <c r="X29" s="12">
        <f>'24MS_Data'!X29-MTOM_Data!X29</f>
        <v>0</v>
      </c>
      <c r="Y29" s="11">
        <f>'24MS_Data'!Y29-MTOM_Data!Y29</f>
        <v>0</v>
      </c>
      <c r="Z29" s="11">
        <f>'24MS_Data'!Z29-MTOM_Data!Z29</f>
        <v>0</v>
      </c>
      <c r="AA29" s="11">
        <f>'24MS_Data'!AA29-MTOM_Data!AA29</f>
        <v>0</v>
      </c>
      <c r="AB29" s="11">
        <f>'24MS_Data'!AB29-MTOM_Data!AB29</f>
        <v>0</v>
      </c>
      <c r="AC29" s="11">
        <f>'24MS_Data'!AC29-MTOM_Data!AC29</f>
        <v>0</v>
      </c>
      <c r="AD29" s="10">
        <f>'24MS_Data'!AD29-MTOM_Data!AD29</f>
        <v>0</v>
      </c>
      <c r="AE29" s="11">
        <f>'24MS_Data'!AE29-MTOM_Data!AE29</f>
        <v>0</v>
      </c>
      <c r="AF29" s="11">
        <f>'24MS_Data'!AF29-MTOM_Data!AF29</f>
        <v>0</v>
      </c>
      <c r="AG29" s="11">
        <f>'24MS_Data'!AG29-MTOM_Data!AG29</f>
        <v>0</v>
      </c>
      <c r="AH29" s="11">
        <f>'24MS_Data'!AH29-MTOM_Data!AH29</f>
        <v>0</v>
      </c>
      <c r="AI29" s="11">
        <f>'24MS_Data'!AI29-MTOM_Data!AI29</f>
        <v>0</v>
      </c>
      <c r="AJ29" s="12">
        <f>'24MS_Data'!AJ29-MTOM_Data!AJ29</f>
        <v>0</v>
      </c>
      <c r="AK29" s="11">
        <f>'24MS_Data'!AK29-MTOM_Data!AK29</f>
        <v>0</v>
      </c>
      <c r="AL29" s="11">
        <f>'24MS_Data'!AL29-MTOM_Data!AL29</f>
        <v>0</v>
      </c>
      <c r="AM29" s="11">
        <f>'24MS_Data'!AM29-MTOM_Data!AM29</f>
        <v>0</v>
      </c>
      <c r="AN29" s="10">
        <f>'24MS_Data'!AN29-MTOM_Data!AN29</f>
        <v>0</v>
      </c>
      <c r="AO29" s="11">
        <f>'24MS_Data'!AO29-MTOM_Data!AO29</f>
        <v>0</v>
      </c>
      <c r="AP29" s="12">
        <f>'24MS_Data'!AP29-MTOM_Data!AP29</f>
        <v>0</v>
      </c>
      <c r="AQ29" s="11">
        <f>'24MS_Data'!AQ29-MTOM_Data!AQ29</f>
        <v>0</v>
      </c>
      <c r="AR29" s="11">
        <f>'24MS_Data'!AR29-MTOM_Data!AR29</f>
        <v>0</v>
      </c>
      <c r="AS29" s="11">
        <f>'24MS_Data'!AS29-MTOM_Data!AS29</f>
        <v>0</v>
      </c>
      <c r="AT29" s="13">
        <f>'24MS_Data'!AT29-MTOM_Data!AT29</f>
        <v>0</v>
      </c>
      <c r="AU29" s="11">
        <f>'24MS_Data'!AU29-MTOM_Data!AU29</f>
        <v>0</v>
      </c>
      <c r="AV29" s="13">
        <f>'24MS_Data'!AV29-MTOM_Data!AV29</f>
        <v>0</v>
      </c>
    </row>
    <row r="30" spans="1:48" x14ac:dyDescent="0.25">
      <c r="A30" s="49">
        <f t="shared" si="0"/>
        <v>44895</v>
      </c>
      <c r="B30" s="10">
        <f>'24MS_Data'!B30-MTOM_Data!B30</f>
        <v>0</v>
      </c>
      <c r="C30" s="11">
        <f>'24MS_Data'!C30-MTOM_Data!C30</f>
        <v>0</v>
      </c>
      <c r="D30" s="11">
        <f>'24MS_Data'!D30-MTOM_Data!D30</f>
        <v>0</v>
      </c>
      <c r="E30" s="11">
        <f>'24MS_Data'!E30-MTOM_Data!E30</f>
        <v>0</v>
      </c>
      <c r="F30" s="10">
        <f>'24MS_Data'!F30-MTOM_Data!F30</f>
        <v>0</v>
      </c>
      <c r="G30" s="11">
        <f>'24MS_Data'!G30-MTOM_Data!G30</f>
        <v>0</v>
      </c>
      <c r="H30" s="11">
        <f>'24MS_Data'!H30-MTOM_Data!H30</f>
        <v>0</v>
      </c>
      <c r="I30" s="11">
        <f>'24MS_Data'!I30-MTOM_Data!I30</f>
        <v>0</v>
      </c>
      <c r="J30" s="12">
        <f>'24MS_Data'!J30-MTOM_Data!J30</f>
        <v>0</v>
      </c>
      <c r="K30" s="11">
        <f>'24MS_Data'!K30-MTOM_Data!K30</f>
        <v>0</v>
      </c>
      <c r="L30" s="11">
        <f>'24MS_Data'!L30-MTOM_Data!L30</f>
        <v>0</v>
      </c>
      <c r="M30" s="11">
        <f>'24MS_Data'!M30-MTOM_Data!M30</f>
        <v>0</v>
      </c>
      <c r="N30" s="10">
        <f>'24MS_Data'!N30-MTOM_Data!N30</f>
        <v>0</v>
      </c>
      <c r="O30" s="11">
        <f>'24MS_Data'!O30-MTOM_Data!O30</f>
        <v>0</v>
      </c>
      <c r="P30" s="11">
        <f>'24MS_Data'!P30-MTOM_Data!P30</f>
        <v>0</v>
      </c>
      <c r="Q30" s="11">
        <f>'24MS_Data'!Q30-MTOM_Data!Q30</f>
        <v>0</v>
      </c>
      <c r="R30" s="12">
        <f>'24MS_Data'!R30-MTOM_Data!R30</f>
        <v>0</v>
      </c>
      <c r="S30" s="11">
        <f>'24MS_Data'!S30-MTOM_Data!S30</f>
        <v>0</v>
      </c>
      <c r="T30" s="11">
        <f>'24MS_Data'!T30-MTOM_Data!T30</f>
        <v>0</v>
      </c>
      <c r="U30" s="11">
        <f>'24MS_Data'!U30-MTOM_Data!U30</f>
        <v>0</v>
      </c>
      <c r="V30" s="10">
        <f>'24MS_Data'!V30-MTOM_Data!V30</f>
        <v>0</v>
      </c>
      <c r="W30" s="11">
        <f>'24MS_Data'!W30-MTOM_Data!W30</f>
        <v>0</v>
      </c>
      <c r="X30" s="12">
        <f>'24MS_Data'!X30-MTOM_Data!X30</f>
        <v>0</v>
      </c>
      <c r="Y30" s="11">
        <f>'24MS_Data'!Y30-MTOM_Data!Y30</f>
        <v>0</v>
      </c>
      <c r="Z30" s="11">
        <f>'24MS_Data'!Z30-MTOM_Data!Z30</f>
        <v>0</v>
      </c>
      <c r="AA30" s="11">
        <f>'24MS_Data'!AA30-MTOM_Data!AA30</f>
        <v>0</v>
      </c>
      <c r="AB30" s="11">
        <f>'24MS_Data'!AB30-MTOM_Data!AB30</f>
        <v>0</v>
      </c>
      <c r="AC30" s="11">
        <f>'24MS_Data'!AC30-MTOM_Data!AC30</f>
        <v>0</v>
      </c>
      <c r="AD30" s="10">
        <f>'24MS_Data'!AD30-MTOM_Data!AD30</f>
        <v>0</v>
      </c>
      <c r="AE30" s="11">
        <f>'24MS_Data'!AE30-MTOM_Data!AE30</f>
        <v>0</v>
      </c>
      <c r="AF30" s="11">
        <f>'24MS_Data'!AF30-MTOM_Data!AF30</f>
        <v>0</v>
      </c>
      <c r="AG30" s="11">
        <f>'24MS_Data'!AG30-MTOM_Data!AG30</f>
        <v>0</v>
      </c>
      <c r="AH30" s="11">
        <f>'24MS_Data'!AH30-MTOM_Data!AH30</f>
        <v>0</v>
      </c>
      <c r="AI30" s="11">
        <f>'24MS_Data'!AI30-MTOM_Data!AI30</f>
        <v>0</v>
      </c>
      <c r="AJ30" s="12">
        <f>'24MS_Data'!AJ30-MTOM_Data!AJ30</f>
        <v>0</v>
      </c>
      <c r="AK30" s="11">
        <f>'24MS_Data'!AK30-MTOM_Data!AK30</f>
        <v>0</v>
      </c>
      <c r="AL30" s="11">
        <f>'24MS_Data'!AL30-MTOM_Data!AL30</f>
        <v>0</v>
      </c>
      <c r="AM30" s="11">
        <f>'24MS_Data'!AM30-MTOM_Data!AM30</f>
        <v>0</v>
      </c>
      <c r="AN30" s="10">
        <f>'24MS_Data'!AN30-MTOM_Data!AN30</f>
        <v>0</v>
      </c>
      <c r="AO30" s="11">
        <f>'24MS_Data'!AO30-MTOM_Data!AO30</f>
        <v>0</v>
      </c>
      <c r="AP30" s="12">
        <f>'24MS_Data'!AP30-MTOM_Data!AP30</f>
        <v>0</v>
      </c>
      <c r="AQ30" s="11">
        <f>'24MS_Data'!AQ30-MTOM_Data!AQ30</f>
        <v>0</v>
      </c>
      <c r="AR30" s="11">
        <f>'24MS_Data'!AR30-MTOM_Data!AR30</f>
        <v>0</v>
      </c>
      <c r="AS30" s="11">
        <f>'24MS_Data'!AS30-MTOM_Data!AS30</f>
        <v>0</v>
      </c>
      <c r="AT30" s="13">
        <f>'24MS_Data'!AT30-MTOM_Data!AT30</f>
        <v>0</v>
      </c>
      <c r="AU30" s="11">
        <f>'24MS_Data'!AU30-MTOM_Data!AU30</f>
        <v>0</v>
      </c>
      <c r="AV30" s="13">
        <f>'24MS_Data'!AV30-MTOM_Data!AV30</f>
        <v>0</v>
      </c>
    </row>
    <row r="31" spans="1:48" x14ac:dyDescent="0.25">
      <c r="A31" s="49">
        <f t="shared" si="0"/>
        <v>44926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spans="1:48" x14ac:dyDescent="0.25">
      <c r="A32" s="49">
        <f t="shared" si="0"/>
        <v>44957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spans="1:48" x14ac:dyDescent="0.25">
      <c r="A33" s="49">
        <f t="shared" si="0"/>
        <v>44985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spans="1:48" x14ac:dyDescent="0.25">
      <c r="A34" s="49">
        <f t="shared" si="0"/>
        <v>45016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spans="1:48" x14ac:dyDescent="0.25">
      <c r="A35" s="50">
        <f t="shared" si="0"/>
        <v>45046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V40"/>
  <sheetViews>
    <sheetView tabSelected="1" zoomScaleNormal="100" workbookViewId="0">
      <selection activeCell="AB14" sqref="AB14"/>
    </sheetView>
  </sheetViews>
  <sheetFormatPr defaultRowHeight="15" x14ac:dyDescent="0.25"/>
  <cols>
    <col min="1" max="1" width="10.7109375" bestFit="1" customWidth="1"/>
    <col min="2" max="2" width="15.140625" customWidth="1"/>
    <col min="3" max="3" width="13.28515625" customWidth="1"/>
    <col min="4" max="4" width="13" customWidth="1"/>
    <col min="5" max="5" width="5" customWidth="1"/>
  </cols>
  <sheetData>
    <row r="1" spans="1:2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2" ht="19.5" customHeight="1" x14ac:dyDescent="0.3">
      <c r="A2" s="129" t="str">
        <f ca="1">LOOKUP($A$36,SlotID,SlotName)</f>
        <v>Mead.Outflow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x14ac:dyDescent="0.25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14.45" customHeight="1" x14ac:dyDescent="0.25">
      <c r="A4" s="55">
        <f>Compare_Data!A4</f>
        <v>44104</v>
      </c>
      <c r="B4" s="58">
        <f t="shared" ref="B4:B35" ca="1" si="0">IF(A4&gt;$D$38,"",LOOKUP($A4,TFTime,INDIRECT(A$38)))</f>
        <v>661273.58411409415</v>
      </c>
      <c r="C4" s="54">
        <f ca="1">IF(A4&gt;$D$38,"",LOOKUP($A4,TFTime,INDIRECT(B$38)))</f>
        <v>661273.58411409415</v>
      </c>
      <c r="D4" s="59">
        <f t="shared" ref="D4:D35" ca="1" si="1">IF(A4&gt;$D$38,"",LOOKUP($A4,TFTime,INDIRECT(C$38)))</f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14.45" customHeight="1" x14ac:dyDescent="0.25">
      <c r="A5" s="55">
        <f>Compare_Data!A5</f>
        <v>44135</v>
      </c>
      <c r="B5" s="58">
        <f t="shared" ca="1" si="0"/>
        <v>745246.51009205671</v>
      </c>
      <c r="C5" s="54">
        <f t="shared" ref="C5:C35" ca="1" si="2">IF(A5&gt;$D$38,"",LOOKUP($A5,TFTime,INDIRECT(B$38)))</f>
        <v>745246.51009205671</v>
      </c>
      <c r="D5" s="59">
        <f t="shared" ca="1" si="1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14.45" customHeight="1" x14ac:dyDescent="0.25">
      <c r="A6" s="55">
        <f>Compare_Data!A6</f>
        <v>44165</v>
      </c>
      <c r="B6" s="58">
        <f t="shared" ca="1" si="0"/>
        <v>687582.62383169413</v>
      </c>
      <c r="C6" s="54">
        <f t="shared" ca="1" si="2"/>
        <v>687582.62385691062</v>
      </c>
      <c r="D6" s="59">
        <f t="shared" ca="1" si="1"/>
        <v>-2.5216490030288696E-5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14.45" customHeight="1" x14ac:dyDescent="0.25">
      <c r="A7" s="55">
        <f>Compare_Data!A7</f>
        <v>44196</v>
      </c>
      <c r="B7" s="58">
        <f t="shared" ca="1" si="0"/>
        <v>444467.13677686109</v>
      </c>
      <c r="C7" s="54">
        <f t="shared" ca="1" si="2"/>
        <v>444467.13677686109</v>
      </c>
      <c r="D7" s="59">
        <f t="shared" ca="1" si="1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ht="14.45" customHeight="1" x14ac:dyDescent="0.25">
      <c r="A8" s="55">
        <f>Compare_Data!A8</f>
        <v>44227</v>
      </c>
      <c r="B8" s="58">
        <f t="shared" ca="1" si="0"/>
        <v>518562.77750137117</v>
      </c>
      <c r="C8" s="54">
        <f t="shared" ca="1" si="2"/>
        <v>518562.77750571398</v>
      </c>
      <c r="D8" s="59">
        <f t="shared" ca="1" si="1"/>
        <v>-4.3428153730928898E-6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spans="1:22" ht="14.45" customHeight="1" x14ac:dyDescent="0.25">
      <c r="A9" s="55">
        <f>Compare_Data!A9</f>
        <v>44255</v>
      </c>
      <c r="B9" s="58">
        <f t="shared" ca="1" si="0"/>
        <v>519289.44294114615</v>
      </c>
      <c r="C9" s="54">
        <f t="shared" ca="1" si="2"/>
        <v>519289.44294114615</v>
      </c>
      <c r="D9" s="59">
        <f t="shared" ca="1" si="1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spans="1:22" ht="14.45" customHeight="1" x14ac:dyDescent="0.25">
      <c r="A10" s="55">
        <f>Compare_Data!A10</f>
        <v>44286</v>
      </c>
      <c r="B10" s="58">
        <f t="shared" ca="1" si="0"/>
        <v>968077.44428917672</v>
      </c>
      <c r="C10" s="54">
        <f t="shared" ca="1" si="2"/>
        <v>968077.44428700523</v>
      </c>
      <c r="D10" s="59">
        <f t="shared" ca="1" si="1"/>
        <v>2.1714949980378151E-6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spans="1:22" ht="14.45" customHeight="1" x14ac:dyDescent="0.25">
      <c r="A11" s="55">
        <f>Compare_Data!A11</f>
        <v>44316</v>
      </c>
      <c r="B11" s="58">
        <f t="shared" ca="1" si="0"/>
        <v>1032455.5455405776</v>
      </c>
      <c r="C11" s="54">
        <f t="shared" ca="1" si="2"/>
        <v>1032455.5454502187</v>
      </c>
      <c r="D11" s="59">
        <f t="shared" ca="1" si="1"/>
        <v>9.0358895249664783E-5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spans="1:22" ht="14.45" customHeight="1" x14ac:dyDescent="0.25">
      <c r="A12" s="55">
        <f>Compare_Data!A12</f>
        <v>44347</v>
      </c>
      <c r="B12" s="58">
        <f t="shared" ca="1" si="0"/>
        <v>993183.52538809204</v>
      </c>
      <c r="C12" s="54">
        <f t="shared" ca="1" si="2"/>
        <v>993183.5253794064</v>
      </c>
      <c r="D12" s="59">
        <f t="shared" ca="1" si="1"/>
        <v>8.6856307461857796E-6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spans="1:22" ht="14.45" customHeight="1" x14ac:dyDescent="0.25">
      <c r="A13" s="55">
        <f>Compare_Data!A13</f>
        <v>44377</v>
      </c>
      <c r="B13" s="58">
        <f t="shared" ca="1" si="0"/>
        <v>947601.25489644194</v>
      </c>
      <c r="C13" s="54">
        <f t="shared" ca="1" si="2"/>
        <v>947601.25495317893</v>
      </c>
      <c r="D13" s="59">
        <f t="shared" ca="1" si="1"/>
        <v>-5.673698615282774E-5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spans="1:22" ht="14.45" customHeight="1" x14ac:dyDescent="0.25">
      <c r="A14" s="55">
        <f>Compare_Data!A14</f>
        <v>44408</v>
      </c>
      <c r="B14" s="58">
        <f t="shared" ca="1" si="0"/>
        <v>827437.65220617561</v>
      </c>
      <c r="C14" s="54">
        <f t="shared" ca="1" si="2"/>
        <v>827437.65215623297</v>
      </c>
      <c r="D14" s="59">
        <f t="shared" ca="1" si="1"/>
        <v>4.9942638725042343E-5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spans="1:22" ht="14.45" customHeight="1" x14ac:dyDescent="0.25">
      <c r="A15" s="55">
        <f>Compare_Data!A15</f>
        <v>44439</v>
      </c>
      <c r="B15" s="58">
        <f t="shared" ca="1" si="0"/>
        <v>786453.41304011981</v>
      </c>
      <c r="C15" s="54">
        <f t="shared" ca="1" si="2"/>
        <v>786453.41303577682</v>
      </c>
      <c r="D15" s="59">
        <f t="shared" ca="1" si="1"/>
        <v>4.3429899960756302E-6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spans="1:22" ht="14.45" customHeight="1" x14ac:dyDescent="0.25">
      <c r="A16" s="55">
        <f>Compare_Data!A16</f>
        <v>44469</v>
      </c>
      <c r="B16" s="58">
        <f t="shared" ca="1" si="0"/>
        <v>713702.59412425279</v>
      </c>
      <c r="C16" s="54">
        <f t="shared" ca="1" si="2"/>
        <v>713702.59412005008</v>
      </c>
      <c r="D16" s="59">
        <f t="shared" ca="1" si="1"/>
        <v>4.2027095332741737E-6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spans="1:22" ht="14.45" customHeight="1" x14ac:dyDescent="0.25">
      <c r="A17" s="55">
        <f>Compare_Data!A17</f>
        <v>44500</v>
      </c>
      <c r="B17" s="58">
        <f t="shared" ca="1" si="0"/>
        <v>521072.7026628399</v>
      </c>
      <c r="C17" s="54">
        <f t="shared" ca="1" si="2"/>
        <v>521072.7026628399</v>
      </c>
      <c r="D17" s="59">
        <f t="shared" ca="1" si="1"/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spans="1:22" ht="14.45" customHeight="1" x14ac:dyDescent="0.25">
      <c r="A18" s="55">
        <f>Compare_Data!A18</f>
        <v>44530</v>
      </c>
      <c r="B18" s="58">
        <f t="shared" ca="1" si="0"/>
        <v>639724.71578927455</v>
      </c>
      <c r="C18" s="54">
        <f t="shared" ca="1" si="2"/>
        <v>639724.71578507184</v>
      </c>
      <c r="D18" s="59">
        <f t="shared" ca="1" si="1"/>
        <v>4.2027095332741737E-6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spans="1:22" ht="14.45" customHeight="1" x14ac:dyDescent="0.25">
      <c r="A19" s="55">
        <f>Compare_Data!A19</f>
        <v>44561</v>
      </c>
      <c r="B19" s="58">
        <f t="shared" ca="1" si="0"/>
        <v>477115.46245444688</v>
      </c>
      <c r="C19" s="54">
        <f t="shared" ca="1" si="2"/>
        <v>477115.46245444688</v>
      </c>
      <c r="D19" s="59">
        <f t="shared" ca="1" si="1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spans="1:22" ht="14.45" customHeight="1" x14ac:dyDescent="0.25">
      <c r="A20" s="55">
        <f>Compare_Data!A20</f>
        <v>44592</v>
      </c>
      <c r="B20" s="58">
        <f t="shared" ca="1" si="0"/>
        <v>519512.8236050508</v>
      </c>
      <c r="C20" s="54">
        <f t="shared" ca="1" si="2"/>
        <v>519512.82360939361</v>
      </c>
      <c r="D20" s="59">
        <f t="shared" ca="1" si="1"/>
        <v>-4.3428153730928898E-6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spans="1:22" ht="14.45" customHeight="1" x14ac:dyDescent="0.25">
      <c r="A21" s="55">
        <f>Compare_Data!A21</f>
        <v>44620</v>
      </c>
      <c r="B21" s="58">
        <f t="shared" ca="1" si="0"/>
        <v>520629.24810126133</v>
      </c>
      <c r="C21" s="54">
        <f t="shared" ca="1" si="2"/>
        <v>520629.24810126133</v>
      </c>
      <c r="D21" s="59">
        <f t="shared" ca="1" si="1"/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spans="1:22" ht="14.45" customHeight="1" x14ac:dyDescent="0.25">
      <c r="A22" s="55">
        <f>Compare_Data!A22</f>
        <v>44651</v>
      </c>
      <c r="B22" s="58">
        <f t="shared" ca="1" si="0"/>
        <v>970281.9314628666</v>
      </c>
      <c r="C22" s="54">
        <f t="shared" ca="1" si="2"/>
        <v>970281.93146069499</v>
      </c>
      <c r="D22" s="59">
        <f t="shared" ca="1" si="1"/>
        <v>2.171611413359642E-6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spans="1:22" ht="14.45" customHeight="1" x14ac:dyDescent="0.25">
      <c r="A23" s="55">
        <f>Compare_Data!A23</f>
        <v>44681</v>
      </c>
      <c r="B23" s="58">
        <f t="shared" ca="1" si="0"/>
        <v>1034747.9449120269</v>
      </c>
      <c r="C23" s="54">
        <f t="shared" ca="1" si="2"/>
        <v>1034747.9448195667</v>
      </c>
      <c r="D23" s="59">
        <f t="shared" ca="1" si="1"/>
        <v>9.2460191808640957E-5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spans="1:22" x14ac:dyDescent="0.25">
      <c r="A24" s="55">
        <f>Compare_Data!A24</f>
        <v>44712</v>
      </c>
      <c r="B24" s="58">
        <f t="shared" ca="1" si="0"/>
        <v>996078.71292683855</v>
      </c>
      <c r="C24" s="54">
        <f t="shared" ca="1" si="2"/>
        <v>996078.71291598142</v>
      </c>
      <c r="D24" s="59">
        <f t="shared" ca="1" si="1"/>
        <v>1.0857125744223595E-5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spans="1:22" x14ac:dyDescent="0.25">
      <c r="A25" s="55">
        <f>Compare_Data!A25</f>
        <v>44742</v>
      </c>
      <c r="B25" s="58">
        <f t="shared" ca="1" si="0"/>
        <v>950106.92938093131</v>
      </c>
      <c r="C25" s="54">
        <f t="shared" ca="1" si="2"/>
        <v>950106.92943766841</v>
      </c>
      <c r="D25" s="59">
        <f t="shared" ca="1" si="1"/>
        <v>-5.6737102568149567E-5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spans="1:22" x14ac:dyDescent="0.25">
      <c r="A26" s="55">
        <f>Compare_Data!A26</f>
        <v>44773</v>
      </c>
      <c r="B26" s="58">
        <f t="shared" ca="1" si="0"/>
        <v>829372.31798774411</v>
      </c>
      <c r="C26" s="54">
        <f t="shared" ca="1" si="2"/>
        <v>829372.31793997297</v>
      </c>
      <c r="D26" s="59">
        <f t="shared" ca="1" si="1"/>
        <v>4.7771143727004528E-5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spans="1:22" x14ac:dyDescent="0.25">
      <c r="A27" s="55">
        <f>Compare_Data!A27</f>
        <v>44804</v>
      </c>
      <c r="B27" s="58">
        <f t="shared" ca="1" si="0"/>
        <v>788103.07882292732</v>
      </c>
      <c r="C27" s="54">
        <f t="shared" ca="1" si="2"/>
        <v>788103.07881858456</v>
      </c>
      <c r="D27" s="59">
        <f t="shared" ca="1" si="1"/>
        <v>4.3427571654319763E-6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spans="1:22" x14ac:dyDescent="0.25">
      <c r="A28" s="55">
        <f>Compare_Data!A28</f>
        <v>44834</v>
      </c>
      <c r="B28" s="58">
        <f t="shared" ca="1" si="0"/>
        <v>715701.34264762781</v>
      </c>
      <c r="C28" s="54">
        <f t="shared" ca="1" si="2"/>
        <v>715701.3426434251</v>
      </c>
      <c r="D28" s="59">
        <f t="shared" ca="1" si="1"/>
        <v>4.2027095332741737E-6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spans="1:22" x14ac:dyDescent="0.25">
      <c r="A29" s="55">
        <f>Compare_Data!A29</f>
        <v>44865</v>
      </c>
      <c r="B29" s="58" t="str">
        <f t="shared" ca="1" si="0"/>
        <v/>
      </c>
      <c r="C29" s="54" t="str">
        <f t="shared" ca="1" si="2"/>
        <v/>
      </c>
      <c r="D29" s="59" t="str">
        <f t="shared" ca="1" si="1"/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spans="1:22" x14ac:dyDescent="0.25">
      <c r="A30" s="55">
        <f>Compare_Data!A30</f>
        <v>44895</v>
      </c>
      <c r="B30" s="58" t="str">
        <f t="shared" ca="1" si="0"/>
        <v/>
      </c>
      <c r="C30" s="54" t="str">
        <f t="shared" ca="1" si="2"/>
        <v/>
      </c>
      <c r="D30" s="59" t="str">
        <f t="shared" ca="1" si="1"/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spans="1:22" x14ac:dyDescent="0.25">
      <c r="A31" s="55">
        <f>Compare_Data!A31</f>
        <v>44926</v>
      </c>
      <c r="B31" s="58" t="str">
        <f t="shared" ca="1" si="0"/>
        <v/>
      </c>
      <c r="C31" s="54" t="str">
        <f t="shared" ca="1" si="2"/>
        <v/>
      </c>
      <c r="D31" s="59" t="str">
        <f t="shared" ca="1" si="1"/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spans="1:22" x14ac:dyDescent="0.25">
      <c r="A32" s="55">
        <f>Compare_Data!A32</f>
        <v>44957</v>
      </c>
      <c r="B32" s="58" t="str">
        <f t="shared" ca="1" si="0"/>
        <v/>
      </c>
      <c r="C32" s="54" t="str">
        <f t="shared" ca="1" si="2"/>
        <v/>
      </c>
      <c r="D32" s="59" t="str">
        <f t="shared" ca="1" si="1"/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spans="1:22" x14ac:dyDescent="0.25">
      <c r="A33" s="55">
        <f>Compare_Data!A33</f>
        <v>44985</v>
      </c>
      <c r="B33" s="58" t="str">
        <f t="shared" ca="1" si="0"/>
        <v/>
      </c>
      <c r="C33" s="54" t="str">
        <f t="shared" ca="1" si="2"/>
        <v/>
      </c>
      <c r="D33" s="59" t="str">
        <f t="shared" ca="1" si="1"/>
        <v/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spans="1:22" x14ac:dyDescent="0.25">
      <c r="A34" s="55">
        <f>Compare_Data!A34</f>
        <v>45016</v>
      </c>
      <c r="B34" s="58" t="str">
        <f t="shared" ca="1" si="0"/>
        <v/>
      </c>
      <c r="C34" s="54" t="str">
        <f t="shared" ca="1" si="2"/>
        <v/>
      </c>
      <c r="D34" s="59" t="str">
        <f t="shared" ca="1" si="1"/>
        <v/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spans="1:22" x14ac:dyDescent="0.25">
      <c r="A35" s="56">
        <f>Compare_Data!A35</f>
        <v>45046</v>
      </c>
      <c r="B35" s="58" t="str">
        <f t="shared" ca="1" si="0"/>
        <v/>
      </c>
      <c r="C35" s="54" t="str">
        <f t="shared" ca="1" si="2"/>
        <v/>
      </c>
      <c r="D35" s="59" t="str">
        <f t="shared" ca="1" si="1"/>
        <v/>
      </c>
      <c r="E35" s="1"/>
      <c r="F35" s="1"/>
      <c r="G35" s="69" t="s">
        <v>57</v>
      </c>
      <c r="H35" s="69">
        <f ca="1">IF(I35="",ROUND(0.1*(MAX(B4:C27)-1.5*(MAX(B4:C27)-MIN(B4:C27))),0)*10,I35)</f>
        <v>149330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spans="1:22" x14ac:dyDescent="0.25">
      <c r="A36" s="35">
        <v>37</v>
      </c>
      <c r="B36" s="35"/>
      <c r="C36" s="35"/>
      <c r="D36" s="1"/>
      <c r="E36" s="1"/>
      <c r="F36" s="1"/>
      <c r="G36" s="69" t="s">
        <v>58</v>
      </c>
      <c r="H36" s="69">
        <f ca="1">IF(I36="",IF(MIN(D4:D27)&gt;=0,0,IF(MIN(D4:D27)&lt;-10,ROUND((MIN(D4:D27)-5)*0.1,0)*10,ROUND((MIN(D4:D27)-2.5)*0.2,0)*5)),I36)</f>
        <v>-5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spans="1:22" x14ac:dyDescent="0.25">
      <c r="A37" s="35" t="str">
        <f ca="1">LOOKUP($A$36,SlotID,RangeName)</f>
        <v>Md_Out</v>
      </c>
      <c r="B37" s="35"/>
      <c r="C37" s="35"/>
      <c r="D37" s="1">
        <f>LOOKUP(RunInformation!$C$6,RunInformation!$I$4:$I$13,RunInformation!$J$4:$J$13)</f>
        <v>25</v>
      </c>
      <c r="E37" s="1"/>
      <c r="F37" s="1"/>
      <c r="G37" s="69" t="s">
        <v>59</v>
      </c>
      <c r="H37" s="69">
        <f ca="1">IF(I37="",ROUNDUP(MAX(D4:D27)+5*(MAX(D4:D27)-MIN(D4:D27)),0),I37)</f>
        <v>1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spans="1:22" x14ac:dyDescent="0.25">
      <c r="A38" s="35" t="str">
        <f ca="1">"TFMS_" &amp; A37</f>
        <v>TFMS_Md_Out</v>
      </c>
      <c r="B38" s="35" t="str">
        <f ca="1">"MTPO_" &amp; A37</f>
        <v>MTPO_Md_Out</v>
      </c>
      <c r="C38" s="35" t="str">
        <f ca="1">"Diff_" &amp; A37</f>
        <v>Diff_Md_Out</v>
      </c>
      <c r="D38" s="63">
        <f>INDEX(A4:A35,$D$37,1)</f>
        <v>44834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spans="1:22" x14ac:dyDescent="0.25">
      <c r="D39" s="64"/>
      <c r="G39" s="67"/>
      <c r="H39" s="68"/>
      <c r="I39" s="67"/>
      <c r="J39" s="67"/>
      <c r="K39" s="67"/>
      <c r="L39" s="67"/>
    </row>
    <row r="40" spans="1:22" x14ac:dyDescent="0.25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8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352425</xdr:colOff>
                    <xdr:row>2</xdr:row>
                    <xdr:rowOff>19050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Alex Pivarnik</cp:lastModifiedBy>
  <dcterms:created xsi:type="dcterms:W3CDTF">2006-09-16T00:00:00Z</dcterms:created>
  <dcterms:modified xsi:type="dcterms:W3CDTF">2020-12-10T21:48:49Z</dcterms:modified>
</cp:coreProperties>
</file>
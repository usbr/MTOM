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ivarnik\Desktop\GIT\MTOM\RW Files\TestModelRuns\"/>
    </mc:Choice>
  </mc:AlternateContent>
  <xr:revisionPtr revIDLastSave="0" documentId="13_ncr:1_{BA15D4E2-6AE5-402B-9323-D1FBBB642FF5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RunInformation" sheetId="4" r:id="rId1"/>
    <sheet name="24MS_Data" sheetId="2" r:id="rId2"/>
    <sheet name="MTOM_Data" sheetId="1" r:id="rId3"/>
    <sheet name="Compare_Data" sheetId="3" r:id="rId4"/>
    <sheet name="Compare_Plots" sheetId="6" r:id="rId5"/>
  </sheets>
  <definedNames>
    <definedName name="Diff_BM_Elev">Compare_Data!$N$4:$N$27</definedName>
    <definedName name="Diff_BM_In">Compare_Data!$O$4:$O$27</definedName>
    <definedName name="Diff_BM_Out">Compare_Data!$Q$4:$Q$27</definedName>
    <definedName name="Diff_BM_Spill">Compare_Data!$R$4:$R$27</definedName>
    <definedName name="Diff_BMIn_Unreg">Compare_Data!$P$4:$P$27</definedName>
    <definedName name="Diff_CAP_DivReq">Compare_Data!$AV$4:$AV$27</definedName>
    <definedName name="Diff_Cry_Elev">Compare_Data!$S$4:$S$27</definedName>
    <definedName name="Diff_Cry_Out">Compare_Data!$T$4:$T$27</definedName>
    <definedName name="Diff_Cry_Spill">Compare_Data!$U$4:$U$27</definedName>
    <definedName name="Diff_FG_Elev">Compare_Data!$F$4:$F$27</definedName>
    <definedName name="Diff_FG_In">Compare_Data!$G$4:$G$27</definedName>
    <definedName name="Diff_FG_Out">Compare_Data!$I$4:$I$27</definedName>
    <definedName name="Diff_FG_Spill">Compare_Data!$J$4:$J$27</definedName>
    <definedName name="Diff_FGIn_Unreg">Compare_Data!$H$4:$H$27</definedName>
    <definedName name="Diff_Font_Elev">Compare_Data!$B$4:$B$27</definedName>
    <definedName name="Diff_Font_In">Compare_Data!$C$4:$C$27</definedName>
    <definedName name="Diff_Font_Out">Compare_Data!$D$4:$D$27</definedName>
    <definedName name="Diff_Font_Spill">Compare_Data!$E$4:$E$27</definedName>
    <definedName name="Diff_Hav_Egy">Compare_Data!$AS$4:$AS$27</definedName>
    <definedName name="Diff_Hav_Elev">Compare_Data!$AQ$4:$AQ$27</definedName>
    <definedName name="Diff_Hav_Out">Compare_Data!$AR$4:$AR$27</definedName>
    <definedName name="Diff_Md_Egy">Compare_Data!$AM$4:$AM$27</definedName>
    <definedName name="Diff_Md_Elev">Compare_Data!$AK$4:$AK$27</definedName>
    <definedName name="Diff_Md_Out">Compare_Data!$AL$4:$AL$27</definedName>
    <definedName name="Diff_Mo_Egy">Compare_Data!$AP$4:$AP$27</definedName>
    <definedName name="Diff_Mo_Elev">Compare_Data!$AN$4:$AN$27</definedName>
    <definedName name="Diff_Mo_Out">Compare_Data!$AO$4:$AO$27</definedName>
    <definedName name="Diff_MWD_DivReq">Compare_Data!$AU$4:$AU$27</definedName>
    <definedName name="Diff_Nav_Elev">Compare_Data!$Y$4:$Y$27</definedName>
    <definedName name="Diff_Nav_In">Compare_Data!$Z$4:$Z$27</definedName>
    <definedName name="Diff_Nav_Out">Compare_Data!$AB$4:$AB$27</definedName>
    <definedName name="Diff_Nav_Spill">Compare_Data!$AC$4:$AC$27</definedName>
    <definedName name="Diff_NavIn_Unreg">Compare_Data!$AA$4:$AA$27</definedName>
    <definedName name="Diff_Pow_Elev">Compare_Data!$AD$4:$AD$27</definedName>
    <definedName name="Diff_Pow_Evap">Compare_Data!$AH$4:$AH$27</definedName>
    <definedName name="Diff_Pow_In">Compare_Data!$AF$4:$AF$27</definedName>
    <definedName name="Diff_Pow_Out">Compare_Data!$AI$4:$AI$27</definedName>
    <definedName name="Diff_Pow_Spill">Compare_Data!$AJ$4:$AJ$27</definedName>
    <definedName name="Diff_Pow_Storage">Compare_Data!$AE$4:$AE$27</definedName>
    <definedName name="Diff_PowIn_Unreg">Compare_Data!$AG$4:$AG$27</definedName>
    <definedName name="Diff_SNWP_DivReq">Compare_Data!$AT$4:$AT$27</definedName>
    <definedName name="Diff_Time">Compare_Data!$A$4:$A$27</definedName>
    <definedName name="Diff_TP_Elev">Compare_Data!$K$4:$K$27</definedName>
    <definedName name="Diff_TP_In">Compare_Data!$L$4:$L$27</definedName>
    <definedName name="Diff_TP_Out">Compare_Data!$M$4:$M$27</definedName>
    <definedName name="Diff_Val_Elev">Compare_Data!$V$4:$V$27</definedName>
    <definedName name="Diff_Val_In">Compare_Data!$W$4:$W$27</definedName>
    <definedName name="Diff_Val_Out">Compare_Data!$X$4:$X$27</definedName>
    <definedName name="Elevation">MTOM_Data!$B$4:$B$27</definedName>
    <definedName name="MOMTime">MTOM_Data!$A$4:$A$27</definedName>
    <definedName name="MTPO_BM_Elev">MTOM_Data!$N$4:$N$27</definedName>
    <definedName name="MTPO_BM_In">MTOM_Data!$O$4:$O$27</definedName>
    <definedName name="MTPO_BM_Out">MTOM_Data!$Q$4:$Q$27</definedName>
    <definedName name="MTPO_BM_Spill">MTOM_Data!$R$4:$R$27</definedName>
    <definedName name="MTPO_BMIn_Unreg">MTOM_Data!$P$4:$P$27</definedName>
    <definedName name="MTPO_CAP_DivReq">MTOM_Data!$AV$4:$AV$27</definedName>
    <definedName name="MTPO_Cry_Elev">MTOM_Data!$S$4:$S$27</definedName>
    <definedName name="MTPO_Cry_Out">MTOM_Data!$T$4:$T$27</definedName>
    <definedName name="MTPO_Cry_Spill">MTOM_Data!$U$4:$U$27</definedName>
    <definedName name="MTPO_FG_Elev">MTOM_Data!$F$4:$F$27</definedName>
    <definedName name="MTPO_FG_In">MTOM_Data!$G$4:$G$27</definedName>
    <definedName name="MTPO_FG_Out">MTOM_Data!$I$4:$I$27</definedName>
    <definedName name="MTPO_FG_Spill">MTOM_Data!$J$4:$J$27</definedName>
    <definedName name="MTPO_FGIn_Unreg">MTOM_Data!$H$4:$H$27</definedName>
    <definedName name="MTPO_Font_Elev">MTOM_Data!$B$4:$B$27</definedName>
    <definedName name="MTPO_Font_In">MTOM_Data!$C$4:$C$27</definedName>
    <definedName name="MTPO_Font_Out">MTOM_Data!$D$4:$D$27</definedName>
    <definedName name="MTPO_Font_Spill">MTOM_Data!$E$4:$E$27</definedName>
    <definedName name="MTPO_Hav_Egy">MTOM_Data!$AS$4:$AS$27</definedName>
    <definedName name="MTPO_Hav_Elev">MTOM_Data!$AQ$4:$AQ$27</definedName>
    <definedName name="MTPO_Hav_Out">MTOM_Data!$AR$4:$AR$27</definedName>
    <definedName name="MTPO_Md_Egy">MTOM_Data!$AM$4:$AM$27</definedName>
    <definedName name="MTPO_Md_Elev">MTOM_Data!$AK$4:$AK$27</definedName>
    <definedName name="MTPO_Md_Out">MTOM_Data!$AL$4:$AL$27</definedName>
    <definedName name="MTPO_Mo_Egy">MTOM_Data!$AP$4:$AP$27</definedName>
    <definedName name="MTPO_Mo_Elev">MTOM_Data!$AN$4:$AN$27</definedName>
    <definedName name="MTPO_Mo_Out">MTOM_Data!$AO$4:$AO$27</definedName>
    <definedName name="MTPO_MWD_DivReq">MTOM_Data!$AU$4:$AU$27</definedName>
    <definedName name="MTPO_Nav_Elev">MTOM_Data!$Y$4:$Y$27</definedName>
    <definedName name="MTPO_Nav_In">MTOM_Data!$Z$4:$Z$27</definedName>
    <definedName name="MTPO_Nav_Out">MTOM_Data!$AB$4:$AB$27</definedName>
    <definedName name="MTPO_Nav_Spill">MTOM_Data!$AC$4:$AC$27</definedName>
    <definedName name="MTPO_NavIn_Unreg">MTOM_Data!$AA$4:$AA$27</definedName>
    <definedName name="MTPO_Pow_Elev">MTOM_Data!$AD$4:$AD$27</definedName>
    <definedName name="MTPO_Pow_Evap">MTOM_Data!$AH$4:$AH$27</definedName>
    <definedName name="MTPO_Pow_In">MTOM_Data!$AF$4:$AF$27</definedName>
    <definedName name="MTPO_Pow_Out">MTOM_Data!$AI$4:$AI$27</definedName>
    <definedName name="MTPO_Pow_Spill">MTOM_Data!$AJ$4:$AJ$27</definedName>
    <definedName name="MTPO_Pow_Storage">MTOM_Data!$AE$4:$AE$27</definedName>
    <definedName name="MTPO_PowIn_Unreg">MTOM_Data!$AG$4:$AG$27</definedName>
    <definedName name="MTPO_SNWP_DivReq">MTOM_Data!$AT$4:$AT$27</definedName>
    <definedName name="MTPO_TP_Elev">MTOM_Data!$K$4:$K$27</definedName>
    <definedName name="MTPO_TP_In">MTOM_Data!$L$4:$L$27</definedName>
    <definedName name="MTPO_TP_Out">MTOM_Data!$M$4:$M$27</definedName>
    <definedName name="MTPO_Val_Elev">MTOM_Data!$V$4:$V$27</definedName>
    <definedName name="MTPO_Val_In">MTOM_Data!$W$4:$W$27</definedName>
    <definedName name="MTPO_Val_Out">MTOM_Data!$X$4:$X$27</definedName>
    <definedName name="RangeName">RunInformation!$G$4:$G$91</definedName>
    <definedName name="SlotID">RunInformation!$E$4:$E$78</definedName>
    <definedName name="SlotName">RunInformation!$F$4:$F$91</definedName>
    <definedName name="TFMS_BM_Elev">'24MS_Data'!$N$4:$N$27</definedName>
    <definedName name="TFMS_BM_In">'24MS_Data'!$O$4:$O$27</definedName>
    <definedName name="TFMS_BM_Out">'24MS_Data'!$Q$4:$Q$27</definedName>
    <definedName name="TFMS_BM_Spill">'24MS_Data'!$R$4:$R$27</definedName>
    <definedName name="TFMS_BMIn_Unreg">'24MS_Data'!$P$4:$P$27</definedName>
    <definedName name="TFMS_CAP_DivReq">'24MS_Data'!$AV$4:$AV$27</definedName>
    <definedName name="TFMS_Cry_Elev">'24MS_Data'!$S$4:$S$27</definedName>
    <definedName name="TFMS_Cry_Out">'24MS_Data'!$T$4:$T$27</definedName>
    <definedName name="TFMS_Cry_Spill">'24MS_Data'!$U$4:$U$27</definedName>
    <definedName name="TFMS_FG_Elev">'24MS_Data'!$F$4:$F$27</definedName>
    <definedName name="TFMS_FG_In">'24MS_Data'!$G$4:$G$27</definedName>
    <definedName name="TFMS_FG_Out">'24MS_Data'!$I$4:$I$27</definedName>
    <definedName name="TFMS_FG_Spill">'24MS_Data'!$J$4:$J$27</definedName>
    <definedName name="TFMS_FGIn_Unreg">'24MS_Data'!$H$4:$H$27</definedName>
    <definedName name="TFMS_Font_Elev">'24MS_Data'!$B$4:$B$27</definedName>
    <definedName name="TFMS_Font_In">'24MS_Data'!$C$4:$C$27</definedName>
    <definedName name="TFMS_Font_Out">'24MS_Data'!$D$4:$D$27</definedName>
    <definedName name="TFMS_Font_Spill">'24MS_Data'!$E$4:$E$27</definedName>
    <definedName name="TFMS_Hav_Egy">'24MS_Data'!$AS$4:$AS$27</definedName>
    <definedName name="TFMS_Hav_Elev">'24MS_Data'!$AQ$4:$AQ$27</definedName>
    <definedName name="TFMS_Hav_Out">'24MS_Data'!$AR$4:$AR$27</definedName>
    <definedName name="TFMS_Md_Egy">'24MS_Data'!$AM$4:$AM$27</definedName>
    <definedName name="TFMS_Md_Elev">'24MS_Data'!$AK$4:$AK$27</definedName>
    <definedName name="TFMS_Md_Out">'24MS_Data'!$AL$4:$AL$27</definedName>
    <definedName name="TFMS_Mo_Egy">'24MS_Data'!$AP$4:$AP$27</definedName>
    <definedName name="TFMS_Mo_Elev">'24MS_Data'!$AN$4:$AN$27</definedName>
    <definedName name="TFMS_Mo_Out">'24MS_Data'!$AO$4:$AO$27</definedName>
    <definedName name="TFMS_MWD_DivReq">'24MS_Data'!$AU$4:$AU$27</definedName>
    <definedName name="TFMS_Nav_Elev">'24MS_Data'!$Y$4:$Y$27</definedName>
    <definedName name="TFMS_Nav_In">'24MS_Data'!$Z$4:$Z$27</definedName>
    <definedName name="TFMS_Nav_Out">'24MS_Data'!$AB$4:$AB$27</definedName>
    <definedName name="TFMS_Nav_Spill">'24MS_Data'!$AC$4:$AC$27</definedName>
    <definedName name="TFMS_NavIn_Unreg">'24MS_Data'!$AA$4:$AA$27</definedName>
    <definedName name="TFMS_Pow_Elev">'24MS_Data'!$AD$4:$AD$27</definedName>
    <definedName name="TFMS_Pow_Evap">'24MS_Data'!$AH$4:$AH$27</definedName>
    <definedName name="TFMS_Pow_In">'24MS_Data'!$AF$4:$AF$27</definedName>
    <definedName name="TFMS_Pow_Out">'24MS_Data'!$AI$4:$AI$27</definedName>
    <definedName name="TFMS_Pow_Spill">'24MS_Data'!$AJ$4:$AJ$27</definedName>
    <definedName name="TFMS_Pow_Storage">'24MS_Data'!$AE$4:$AE$27</definedName>
    <definedName name="TFMS_PowIn_Unreg">'24MS_Data'!$AG$4:$AG$27</definedName>
    <definedName name="TFMS_SNWP_DivReq">'24MS_Data'!$AT$4:$AT$27</definedName>
    <definedName name="TFMS_TP_Elev">'24MS_Data'!$K$4:$K$27</definedName>
    <definedName name="TFMS_TP_In">'24MS_Data'!$L$4:$L$27</definedName>
    <definedName name="TFMS_TP_Out">'24MS_Data'!$M$4:$M$27</definedName>
    <definedName name="TFMS_Val_Elev">'24MS_Data'!$V$4:$V$27</definedName>
    <definedName name="TFMS_Val_In">'24MS_Data'!$W$4:$W$27</definedName>
    <definedName name="TFMS_Val_Out">'24MS_Data'!$X$4:$X$27</definedName>
    <definedName name="TFTime">'24MS_Data'!$A$4:$A$35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7" i="6" l="1"/>
  <c r="B38" i="6" s="1"/>
  <c r="A4" i="6"/>
  <c r="A2" i="6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A5" i="3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4" i="1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4" i="2"/>
  <c r="AD5" i="4"/>
  <c r="AD6" i="4" s="1"/>
  <c r="AD3" i="4"/>
  <c r="C6" i="4" s="1"/>
  <c r="AD2" i="4"/>
  <c r="AD9" i="4" s="1"/>
  <c r="C38" i="6" l="1"/>
  <c r="A6" i="3"/>
  <c r="A5" i="6"/>
  <c r="C7" i="4"/>
  <c r="D37" i="6"/>
  <c r="A38" i="6"/>
  <c r="A7" i="3" l="1"/>
  <c r="A6" i="6"/>
  <c r="A8" i="3" l="1"/>
  <c r="A7" i="6"/>
  <c r="A9" i="3" l="1"/>
  <c r="A8" i="6"/>
  <c r="A10" i="3" l="1"/>
  <c r="A9" i="6"/>
  <c r="A11" i="3" l="1"/>
  <c r="A10" i="6"/>
  <c r="A12" i="3" l="1"/>
  <c r="A11" i="6"/>
  <c r="A13" i="3" l="1"/>
  <c r="A12" i="6"/>
  <c r="A14" i="3" l="1"/>
  <c r="A13" i="6"/>
  <c r="A15" i="3" l="1"/>
  <c r="A14" i="6"/>
  <c r="A16" i="3" l="1"/>
  <c r="A15" i="6"/>
  <c r="A17" i="3" l="1"/>
  <c r="A16" i="6"/>
  <c r="A18" i="3" l="1"/>
  <c r="A17" i="6"/>
  <c r="A19" i="3" l="1"/>
  <c r="A18" i="6"/>
  <c r="A20" i="3" l="1"/>
  <c r="A19" i="6"/>
  <c r="A21" i="3" l="1"/>
  <c r="A20" i="6"/>
  <c r="A22" i="3" l="1"/>
  <c r="A21" i="6"/>
  <c r="A23" i="3" l="1"/>
  <c r="A22" i="6"/>
  <c r="A24" i="3" l="1"/>
  <c r="A23" i="6"/>
  <c r="A25" i="3" l="1"/>
  <c r="A24" i="6"/>
  <c r="A26" i="3" l="1"/>
  <c r="A25" i="6"/>
  <c r="A27" i="3" l="1"/>
  <c r="A26" i="6"/>
  <c r="A28" i="3" l="1"/>
  <c r="A27" i="6"/>
  <c r="D38" i="6" l="1"/>
  <c r="A29" i="3"/>
  <c r="A28" i="6"/>
  <c r="D27" i="6"/>
  <c r="D28" i="6" l="1"/>
  <c r="C28" i="6"/>
  <c r="B28" i="6"/>
  <c r="A30" i="3"/>
  <c r="A29" i="6"/>
  <c r="D6" i="6"/>
  <c r="D15" i="6"/>
  <c r="C14" i="6"/>
  <c r="C5" i="6"/>
  <c r="D13" i="6"/>
  <c r="C26" i="6"/>
  <c r="C16" i="6"/>
  <c r="D21" i="6"/>
  <c r="D22" i="6"/>
  <c r="D18" i="6"/>
  <c r="C27" i="6"/>
  <c r="B5" i="6"/>
  <c r="D4" i="6"/>
  <c r="C6" i="6"/>
  <c r="C11" i="6"/>
  <c r="B19" i="6"/>
  <c r="D14" i="6"/>
  <c r="C19" i="6"/>
  <c r="D8" i="6"/>
  <c r="C4" i="6"/>
  <c r="C22" i="6"/>
  <c r="B11" i="6"/>
  <c r="B17" i="6"/>
  <c r="D23" i="6"/>
  <c r="B12" i="6"/>
  <c r="D12" i="6"/>
  <c r="D10" i="6"/>
  <c r="C17" i="6"/>
  <c r="B16" i="6"/>
  <c r="B24" i="6"/>
  <c r="B21" i="6"/>
  <c r="D25" i="6"/>
  <c r="B20" i="6"/>
  <c r="B15" i="6"/>
  <c r="D20" i="6"/>
  <c r="B27" i="6"/>
  <c r="D17" i="6"/>
  <c r="C24" i="6"/>
  <c r="D19" i="6"/>
  <c r="B9" i="6"/>
  <c r="B14" i="6"/>
  <c r="D9" i="6"/>
  <c r="D7" i="6"/>
  <c r="B26" i="6"/>
  <c r="B7" i="6"/>
  <c r="C20" i="6"/>
  <c r="B13" i="6"/>
  <c r="B22" i="6"/>
  <c r="C9" i="6"/>
  <c r="B4" i="6"/>
  <c r="D5" i="6"/>
  <c r="D16" i="6"/>
  <c r="C13" i="6"/>
  <c r="C18" i="6"/>
  <c r="D11" i="6"/>
  <c r="C7" i="6"/>
  <c r="C15" i="6"/>
  <c r="B25" i="6"/>
  <c r="B10" i="6"/>
  <c r="B6" i="6"/>
  <c r="C10" i="6"/>
  <c r="C25" i="6"/>
  <c r="B8" i="6"/>
  <c r="D24" i="6"/>
  <c r="B18" i="6"/>
  <c r="C23" i="6"/>
  <c r="C21" i="6"/>
  <c r="D26" i="6"/>
  <c r="C12" i="6"/>
  <c r="C8" i="6"/>
  <c r="B23" i="6"/>
  <c r="H35" i="6" l="1"/>
  <c r="H37" i="6"/>
  <c r="H36" i="6"/>
  <c r="D29" i="6"/>
  <c r="C29" i="6"/>
  <c r="B29" i="6"/>
  <c r="A31" i="3"/>
  <c r="A30" i="6"/>
  <c r="D30" i="6" l="1"/>
  <c r="C30" i="6"/>
  <c r="B30" i="6"/>
  <c r="A32" i="3"/>
  <c r="A31" i="6"/>
  <c r="D31" i="6" l="1"/>
  <c r="C31" i="6"/>
  <c r="B31" i="6"/>
  <c r="A33" i="3"/>
  <c r="A32" i="6"/>
  <c r="D32" i="6" l="1"/>
  <c r="C32" i="6"/>
  <c r="B32" i="6"/>
  <c r="A34" i="3"/>
  <c r="A33" i="6"/>
  <c r="D33" i="6" l="1"/>
  <c r="C33" i="6"/>
  <c r="B33" i="6"/>
  <c r="A35" i="3"/>
  <c r="A35" i="6" s="1"/>
  <c r="A34" i="6"/>
  <c r="D34" i="6" l="1"/>
  <c r="C34" i="6"/>
  <c r="B34" i="6"/>
  <c r="D35" i="6"/>
  <c r="C35" i="6"/>
  <c r="B35" i="6"/>
</calcChain>
</file>

<file path=xl/sharedStrings.xml><?xml version="1.0" encoding="utf-8"?>
<sst xmlns="http://schemas.openxmlformats.org/spreadsheetml/2006/main" count="324" uniqueCount="156">
  <si>
    <t>Run Date Synchronization</t>
  </si>
  <si>
    <t>Elevation</t>
  </si>
  <si>
    <t>Outflow</t>
  </si>
  <si>
    <t>Spill</t>
  </si>
  <si>
    <t xml:space="preserve">Blue Mesa </t>
  </si>
  <si>
    <t>Taylor Park</t>
  </si>
  <si>
    <t>Flaming Gorge</t>
  </si>
  <si>
    <t>Fontenelle</t>
  </si>
  <si>
    <t>Crystal</t>
  </si>
  <si>
    <t>Vallecito</t>
  </si>
  <si>
    <t>Navajo</t>
  </si>
  <si>
    <t>Powell</t>
  </si>
  <si>
    <t>Mead</t>
  </si>
  <si>
    <t>Energy</t>
  </si>
  <si>
    <t>Mohave</t>
  </si>
  <si>
    <t>Havasu</t>
  </si>
  <si>
    <t>PumpingFromLakeMead:SNWP</t>
  </si>
  <si>
    <t>MWDDiversion</t>
  </si>
  <si>
    <t>CAPDiversion</t>
  </si>
  <si>
    <t>Diversion Requested</t>
  </si>
  <si>
    <t>Fontenelle.Outflow</t>
  </si>
  <si>
    <t>Fontenelle.Spill</t>
  </si>
  <si>
    <t>Havasu.Energy</t>
  </si>
  <si>
    <t>Havasu.Outflow</t>
  </si>
  <si>
    <t>Havasu.Pool Elevation</t>
  </si>
  <si>
    <t>Font_Spill</t>
  </si>
  <si>
    <t>Font_Out</t>
  </si>
  <si>
    <t>Font_Elev</t>
  </si>
  <si>
    <t>ID</t>
  </si>
  <si>
    <t>Slot</t>
  </si>
  <si>
    <t>Excel Name</t>
  </si>
  <si>
    <t>Slots to be Compared</t>
  </si>
  <si>
    <t>Hav_Elev</t>
  </si>
  <si>
    <t>Hav_Out</t>
  </si>
  <si>
    <t>Hav_Egy</t>
  </si>
  <si>
    <t>SNWP_DivReq</t>
  </si>
  <si>
    <t>MWD_DivReq</t>
  </si>
  <si>
    <t>24 Month Study</t>
  </si>
  <si>
    <t>Difference</t>
  </si>
  <si>
    <t>FG_Elev</t>
  </si>
  <si>
    <t>FlamingGorge.Outflow</t>
  </si>
  <si>
    <t>FG_Out</t>
  </si>
  <si>
    <t>FlamingGorge.Spill</t>
  </si>
  <si>
    <t>FG_Spill</t>
  </si>
  <si>
    <t>TP_Elev</t>
  </si>
  <si>
    <t>TaylorPark.Pool Elevation</t>
  </si>
  <si>
    <t>FlamingGorge.Pool Elevation</t>
  </si>
  <si>
    <t>Fontenelle.Pool Elevation</t>
  </si>
  <si>
    <t>TaylorPark.Outflow</t>
  </si>
  <si>
    <t>TP_Out</t>
  </si>
  <si>
    <t>BlueMesa.Pool Elevation</t>
  </si>
  <si>
    <t>BM_Elev</t>
  </si>
  <si>
    <t>BlueMesa.Outflow</t>
  </si>
  <si>
    <t>BM_Out</t>
  </si>
  <si>
    <t>BlueMesa.Spill</t>
  </si>
  <si>
    <t>BM_Spill</t>
  </si>
  <si>
    <t>24-Month Study Model Values</t>
  </si>
  <si>
    <t>x1 axis min</t>
  </si>
  <si>
    <t>x2 axis min</t>
  </si>
  <si>
    <t>x2 axis max</t>
  </si>
  <si>
    <t>auto</t>
  </si>
  <si>
    <t>override</t>
  </si>
  <si>
    <t>MOM Model Output</t>
  </si>
  <si>
    <t>Model Compare Values</t>
  </si>
  <si>
    <t>Crystal.Pool Elevation</t>
  </si>
  <si>
    <t>Crystal.Outflow</t>
  </si>
  <si>
    <t>Crystal.Spill</t>
  </si>
  <si>
    <t>Cry_Elev</t>
  </si>
  <si>
    <t>Cry_Out</t>
  </si>
  <si>
    <t>Cry_Spill</t>
  </si>
  <si>
    <t>Vallecito.Outflow</t>
  </si>
  <si>
    <t>Vallecito.Pool Elevation</t>
  </si>
  <si>
    <t>Val_Elev</t>
  </si>
  <si>
    <t>Val_Out</t>
  </si>
  <si>
    <t>Powell.Pool Elevation</t>
  </si>
  <si>
    <t>Powell.Outflow</t>
  </si>
  <si>
    <t>Powell.Spill</t>
  </si>
  <si>
    <t>Pow_Elev</t>
  </si>
  <si>
    <t>Pow_Out</t>
  </si>
  <si>
    <t>Pow_Spill</t>
  </si>
  <si>
    <t>Mead.Pool Elevation</t>
  </si>
  <si>
    <t>Mead.Outflow</t>
  </si>
  <si>
    <t>Md_Elev</t>
  </si>
  <si>
    <t>Md_Out</t>
  </si>
  <si>
    <t>Mead.Energy</t>
  </si>
  <si>
    <t>Md_Egy</t>
  </si>
  <si>
    <t>Navajo.Pool Elevation</t>
  </si>
  <si>
    <t>Navajo.Outflow</t>
  </si>
  <si>
    <t>Navajo.Spill</t>
  </si>
  <si>
    <t>Nav_Elev</t>
  </si>
  <si>
    <t>Nav_Out</t>
  </si>
  <si>
    <t>Nav_Spill</t>
  </si>
  <si>
    <t>Mohave.Pool Elevation</t>
  </si>
  <si>
    <t>Mohave.Outflow</t>
  </si>
  <si>
    <t>Mohave.Energy</t>
  </si>
  <si>
    <t>Mo_Elev</t>
  </si>
  <si>
    <t>Mo_Out</t>
  </si>
  <si>
    <t>Mo_Egy</t>
  </si>
  <si>
    <t>CAP_DivReq</t>
  </si>
  <si>
    <t>MTOM Model Output</t>
  </si>
  <si>
    <t>MTOM</t>
  </si>
  <si>
    <t>Model Run Dates</t>
  </si>
  <si>
    <t xml:space="preserve"> Nothing in Excel guarantees consistent units.</t>
  </si>
  <si>
    <t>Run Duration</t>
  </si>
  <si>
    <t>Durations</t>
  </si>
  <si>
    <t>Date of Run</t>
  </si>
  <si>
    <t>Run Start Date</t>
  </si>
  <si>
    <t>Run Duration (months)</t>
  </si>
  <si>
    <t>Fontenelle.Inflow</t>
  </si>
  <si>
    <t>Font_In</t>
  </si>
  <si>
    <t>FlamingGorge.Inflow</t>
  </si>
  <si>
    <t>FlamingGorge.UnregInflow</t>
  </si>
  <si>
    <t>FG_In</t>
  </si>
  <si>
    <t>FGIn_Unreg</t>
  </si>
  <si>
    <t>TaylorPark.Inflow</t>
  </si>
  <si>
    <t>TP_In</t>
  </si>
  <si>
    <t>BlueMesa.Inflow</t>
  </si>
  <si>
    <t>BlueMesa.UnregInflow</t>
  </si>
  <si>
    <t>BM_In</t>
  </si>
  <si>
    <t>BMIn_Unreg</t>
  </si>
  <si>
    <t>Vallecito.Inflow</t>
  </si>
  <si>
    <t>Val_In</t>
  </si>
  <si>
    <t>Navajo.Inflow</t>
  </si>
  <si>
    <t>Navajo.UnregInflow</t>
  </si>
  <si>
    <t>Nav_In</t>
  </si>
  <si>
    <t>NavIn_Unreg</t>
  </si>
  <si>
    <t>Powell.Inflow</t>
  </si>
  <si>
    <t>Powell.UnregInflow</t>
  </si>
  <si>
    <t>Powell.Storage</t>
  </si>
  <si>
    <t>Powell.Evaporation</t>
  </si>
  <si>
    <t>Pow_Evap</t>
  </si>
  <si>
    <t>PowIn_Unreg</t>
  </si>
  <si>
    <t>Pow_In</t>
  </si>
  <si>
    <t>Pow_Storage</t>
  </si>
  <si>
    <t>Inflow</t>
  </si>
  <si>
    <t>Unreg Inflow</t>
  </si>
  <si>
    <t>Storage</t>
  </si>
  <si>
    <t>Evaporation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</si>
  <si>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</si>
  <si>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</si>
  <si>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</si>
  <si>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</si>
  <si>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</si>
  <si>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</si>
  <si>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</si>
  <si>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</si>
  <si>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</si>
  <si>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</si>
  <si>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</si>
  <si>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</si>
  <si>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Duration</t>
  </si>
  <si>
    <t>Month No</t>
  </si>
  <si>
    <t>Month Date</t>
  </si>
  <si>
    <t>Max Days of Month</t>
  </si>
  <si>
    <t>Month</t>
  </si>
  <si>
    <t xml:space="preserve">Watch units compatibility between output from the two models.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</si>
</sst>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409]mmmm\-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14"/>
      <color theme="4" tint="0.79995117038483843"/>
      <name val="Calibri"/>
      <family val="2"/>
      <scheme val="minor"/>
    </font>
    <font>
      <b/>
      <sz val="14"/>
      <color theme="5" tint="0.79995117038483843"/>
      <name val="Calibri"/>
      <family val="2"/>
      <scheme val="minor"/>
    </font>
    <font>
      <b/>
      <sz val="14"/>
      <color theme="6" tint="0.79995117038483843"/>
      <name val="Calibri"/>
      <family val="2"/>
      <scheme val="minor"/>
    </font>
    <font>
      <b/>
      <sz val="14"/>
      <color theme="3" tint="0.79995117038483843"/>
      <name val="Calibri"/>
      <family val="2"/>
      <scheme val="minor"/>
    </font>
    <font>
      <sz val="11"/>
      <color theme="1" tint="4.901272621845149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6" tint="0.7999511703848384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2" borderId="0" xfId="0" applyFill="1"/>
    <xf numFmtId="0" fontId="1" fillId="3" borderId="15" xfId="0" applyFont="1" applyFill="1" applyBorder="1"/>
    <xf numFmtId="0" fontId="1" fillId="6" borderId="14" xfId="0" applyFont="1" applyFill="1" applyBorder="1"/>
    <xf numFmtId="0" fontId="0" fillId="3" borderId="7" xfId="0" applyFill="1" applyBorder="1"/>
    <xf numFmtId="0" fontId="0" fillId="3" borderId="10" xfId="0" applyFill="1" applyBorder="1"/>
    <xf numFmtId="2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2" fontId="0" fillId="4" borderId="7" xfId="0" applyNumberFormat="1" applyFill="1" applyBorder="1"/>
    <xf numFmtId="2" fontId="0" fillId="4" borderId="6" xfId="0" applyNumberFormat="1" applyFill="1" applyBorder="1"/>
    <xf numFmtId="2" fontId="0" fillId="4" borderId="0" xfId="0" applyNumberFormat="1" applyFill="1" applyBorder="1"/>
    <xf numFmtId="2" fontId="0" fillId="4" borderId="12" xfId="0" applyNumberFormat="1" applyFill="1" applyBorder="1"/>
    <xf numFmtId="2" fontId="0" fillId="4" borderId="8" xfId="0" applyNumberFormat="1" applyFill="1" applyBorder="1"/>
    <xf numFmtId="2" fontId="0" fillId="4" borderId="9" xfId="0" applyNumberFormat="1" applyFill="1" applyBorder="1"/>
    <xf numFmtId="2" fontId="0" fillId="4" borderId="11" xfId="0" applyNumberFormat="1" applyFill="1" applyBorder="1"/>
    <xf numFmtId="2" fontId="0" fillId="4" borderId="13" xfId="0" applyNumberFormat="1" applyFill="1" applyBorder="1"/>
    <xf numFmtId="2" fontId="0" fillId="4" borderId="10" xfId="0" applyNumberFormat="1" applyFill="1" applyBorder="1"/>
    <xf numFmtId="0" fontId="1" fillId="3" borderId="14" xfId="0" applyFont="1" applyFill="1" applyBorder="1"/>
    <xf numFmtId="0" fontId="1" fillId="3" borderId="6" xfId="0" applyFont="1" applyFill="1" applyBorder="1"/>
    <xf numFmtId="0" fontId="1" fillId="3" borderId="0" xfId="0" applyFont="1" applyFill="1" applyBorder="1"/>
    <xf numFmtId="0" fontId="1" fillId="3" borderId="12" xfId="0" applyFont="1" applyFill="1" applyBorder="1"/>
    <xf numFmtId="0" fontId="1" fillId="3" borderId="8" xfId="0" applyFont="1" applyFill="1" applyBorder="1"/>
    <xf numFmtId="14" fontId="0" fillId="3" borderId="8" xfId="0" applyNumberFormat="1" applyFont="1" applyFill="1" applyBorder="1"/>
    <xf numFmtId="14" fontId="0" fillId="3" borderId="10" xfId="0" applyNumberFormat="1" applyFont="1" applyFill="1" applyBorder="1"/>
    <xf numFmtId="0" fontId="1" fillId="6" borderId="15" xfId="0" applyFont="1" applyFill="1" applyBorder="1"/>
    <xf numFmtId="0" fontId="1" fillId="6" borderId="9" xfId="0" applyFont="1" applyFill="1" applyBorder="1"/>
    <xf numFmtId="0" fontId="1" fillId="6" borderId="11" xfId="0" applyFont="1" applyFill="1" applyBorder="1"/>
    <xf numFmtId="0" fontId="1" fillId="6" borderId="13" xfId="0" applyFont="1" applyFill="1" applyBorder="1"/>
    <xf numFmtId="0" fontId="1" fillId="6" borderId="10" xfId="0" applyFont="1" applyFill="1" applyBorder="1"/>
    <xf numFmtId="0" fontId="0" fillId="6" borderId="7" xfId="0" applyFill="1" applyBorder="1"/>
    <xf numFmtId="0" fontId="0" fillId="6" borderId="8" xfId="0" applyFill="1" applyBorder="1"/>
    <xf numFmtId="14" fontId="0" fillId="6" borderId="8" xfId="0" applyNumberFormat="1" applyFill="1" applyBorder="1"/>
    <xf numFmtId="0" fontId="1" fillId="5" borderId="15" xfId="0" applyFont="1" applyFill="1" applyBorder="1"/>
    <xf numFmtId="0" fontId="1" fillId="5" borderId="14" xfId="0" applyFont="1" applyFill="1" applyBorder="1"/>
    <xf numFmtId="0" fontId="7" fillId="2" borderId="0" xfId="0" applyFont="1" applyFill="1"/>
    <xf numFmtId="0" fontId="0" fillId="2" borderId="1" xfId="0" applyFill="1" applyBorder="1"/>
    <xf numFmtId="164" fontId="0" fillId="4" borderId="2" xfId="0" applyNumberFormat="1" applyFill="1" applyBorder="1"/>
    <xf numFmtId="164" fontId="0" fillId="4" borderId="0" xfId="0" applyNumberFormat="1" applyFill="1" applyBorder="1"/>
    <xf numFmtId="164" fontId="0" fillId="4" borderId="11" xfId="0" applyNumberFormat="1" applyFill="1" applyBorder="1"/>
    <xf numFmtId="1" fontId="0" fillId="4" borderId="2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14" fontId="0" fillId="6" borderId="6" xfId="0" applyNumberFormat="1" applyFill="1" applyBorder="1"/>
    <xf numFmtId="14" fontId="0" fillId="6" borderId="9" xfId="0" applyNumberFormat="1" applyFill="1" applyBorder="1"/>
    <xf numFmtId="0" fontId="1" fillId="5" borderId="6" xfId="0" applyFont="1" applyFill="1" applyBorder="1"/>
    <xf numFmtId="0" fontId="1" fillId="5" borderId="0" xfId="0" applyFont="1" applyFill="1" applyBorder="1"/>
    <xf numFmtId="0" fontId="1" fillId="5" borderId="12" xfId="0" applyFont="1" applyFill="1" applyBorder="1"/>
    <xf numFmtId="0" fontId="1" fillId="5" borderId="8" xfId="0" applyFont="1" applyFill="1" applyBorder="1"/>
    <xf numFmtId="14" fontId="0" fillId="5" borderId="6" xfId="0" applyNumberFormat="1" applyFill="1" applyBorder="1"/>
    <xf numFmtId="14" fontId="0" fillId="5" borderId="9" xfId="0" applyNumberFormat="1" applyFill="1" applyBorder="1"/>
    <xf numFmtId="0" fontId="0" fillId="5" borderId="1" xfId="0" applyFill="1" applyBorder="1"/>
    <xf numFmtId="0" fontId="0" fillId="5" borderId="6" xfId="0" applyFill="1" applyBorder="1"/>
    <xf numFmtId="14" fontId="0" fillId="5" borderId="1" xfId="0" applyNumberFormat="1" applyFill="1" applyBorder="1"/>
    <xf numFmtId="2" fontId="0" fillId="6" borderId="0" xfId="0" applyNumberFormat="1" applyFill="1" applyBorder="1"/>
    <xf numFmtId="14" fontId="0" fillId="4" borderId="6" xfId="0" applyNumberFormat="1" applyFill="1" applyBorder="1"/>
    <xf numFmtId="14" fontId="0" fillId="4" borderId="9" xfId="0" applyNumberFormat="1" applyFill="1" applyBorder="1"/>
    <xf numFmtId="0" fontId="1" fillId="4" borderId="4" xfId="0" applyFont="1" applyFill="1" applyBorder="1"/>
    <xf numFmtId="2" fontId="0" fillId="3" borderId="8" xfId="0" applyNumberFormat="1" applyFill="1" applyBorder="1"/>
    <xf numFmtId="2" fontId="0" fillId="5" borderId="8" xfId="0" applyNumberFormat="1" applyFill="1" applyBorder="1"/>
    <xf numFmtId="0" fontId="6" fillId="2" borderId="15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2" fontId="0" fillId="0" borderId="0" xfId="0" applyNumberFormat="1"/>
    <xf numFmtId="0" fontId="9" fillId="2" borderId="0" xfId="0" applyFont="1" applyFill="1"/>
    <xf numFmtId="0" fontId="9" fillId="0" borderId="0" xfId="0" applyFont="1"/>
    <xf numFmtId="2" fontId="9" fillId="0" borderId="0" xfId="0" applyNumberFormat="1" applyFont="1"/>
    <xf numFmtId="0" fontId="10" fillId="2" borderId="0" xfId="0" applyFont="1" applyFill="1"/>
    <xf numFmtId="2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2" fontId="0" fillId="4" borderId="7" xfId="0" applyNumberFormat="1" applyFill="1" applyBorder="1"/>
    <xf numFmtId="2" fontId="0" fillId="4" borderId="6" xfId="0" applyNumberFormat="1" applyFill="1" applyBorder="1"/>
    <xf numFmtId="2" fontId="0" fillId="4" borderId="0" xfId="0" applyNumberFormat="1" applyFill="1" applyBorder="1"/>
    <xf numFmtId="2" fontId="0" fillId="4" borderId="12" xfId="0" applyNumberFormat="1" applyFill="1" applyBorder="1"/>
    <xf numFmtId="2" fontId="0" fillId="4" borderId="8" xfId="0" applyNumberFormat="1" applyFill="1" applyBorder="1"/>
    <xf numFmtId="1" fontId="0" fillId="4" borderId="2" xfId="0" applyNumberFormat="1" applyFill="1" applyBorder="1"/>
    <xf numFmtId="1" fontId="0" fillId="4" borderId="0" xfId="0" applyNumberFormat="1" applyFill="1" applyBorder="1"/>
    <xf numFmtId="0" fontId="12" fillId="0" borderId="0" xfId="0" applyFont="1"/>
    <xf numFmtId="22" fontId="12" fillId="0" borderId="0" xfId="0" applyNumberFormat="1" applyFont="1"/>
    <xf numFmtId="0" fontId="12" fillId="2" borderId="0" xfId="0" applyFont="1" applyFill="1"/>
    <xf numFmtId="0" fontId="12" fillId="2" borderId="0" xfId="0" applyFont="1" applyFill="1" applyBorder="1"/>
    <xf numFmtId="0" fontId="14" fillId="5" borderId="4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15" fillId="2" borderId="14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3" borderId="6" xfId="0" applyFont="1" applyFill="1" applyBorder="1"/>
    <xf numFmtId="14" fontId="12" fillId="4" borderId="7" xfId="0" applyNumberFormat="1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4" borderId="7" xfId="0" applyFont="1" applyFill="1" applyBorder="1"/>
    <xf numFmtId="0" fontId="12" fillId="4" borderId="12" xfId="0" applyFont="1" applyFill="1" applyBorder="1"/>
    <xf numFmtId="0" fontId="12" fillId="4" borderId="1" xfId="0" applyFont="1" applyFill="1" applyBorder="1"/>
    <xf numFmtId="165" fontId="12" fillId="4" borderId="8" xfId="0" applyNumberFormat="1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12" fillId="4" borderId="8" xfId="0" applyFont="1" applyFill="1" applyBorder="1"/>
    <xf numFmtId="0" fontId="12" fillId="4" borderId="6" xfId="0" applyFont="1" applyFill="1" applyBorder="1"/>
    <xf numFmtId="14" fontId="12" fillId="7" borderId="14" xfId="0" applyNumberFormat="1" applyFont="1" applyFill="1" applyBorder="1" applyAlignment="1">
      <alignment horizontal="center"/>
    </xf>
    <xf numFmtId="0" fontId="12" fillId="3" borderId="9" xfId="0" applyFont="1" applyFill="1" applyBorder="1"/>
    <xf numFmtId="1" fontId="12" fillId="4" borderId="10" xfId="0" applyNumberFormat="1" applyFont="1" applyFill="1" applyBorder="1" applyAlignment="1">
      <alignment horizontal="center"/>
    </xf>
    <xf numFmtId="0" fontId="12" fillId="2" borderId="11" xfId="0" applyFont="1" applyFill="1" applyBorder="1"/>
    <xf numFmtId="0" fontId="12" fillId="4" borderId="9" xfId="0" applyFont="1" applyFill="1" applyBorder="1"/>
    <xf numFmtId="0" fontId="12" fillId="4" borderId="10" xfId="0" applyFont="1" applyFill="1" applyBorder="1"/>
    <xf numFmtId="0" fontId="12" fillId="5" borderId="10" xfId="0" applyFont="1" applyFill="1" applyBorder="1" applyAlignment="1">
      <alignment horizontal="center"/>
    </xf>
    <xf numFmtId="0" fontId="12" fillId="4" borderId="13" xfId="0" applyFont="1" applyFill="1" applyBorder="1"/>
    <xf numFmtId="0" fontId="13" fillId="2" borderId="11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15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Comparison</a:t>
            </a:r>
            <a:r>
              <a:rPr lang="en-US" baseline="0"/>
              <a:t> Values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1127880626447842E-2"/>
          <c:y val="0.10887420951575692"/>
          <c:w val="0.71549769078032788"/>
          <c:h val="0.8296473427398846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Compare_Plots!$B$3</c:f>
              <c:strCache>
                <c:ptCount val="1"/>
                <c:pt idx="0">
                  <c:v>24 Month Study</c:v>
                </c:pt>
              </c:strCache>
            </c:strRef>
          </c:tx>
          <c:xVal>
            <c:numRef>
              <c:f>Compare_Plots!$A$4:$A$27</c:f>
              <c:numCache>
                <c:formatCode>m/d/yyyy</c:formatCode>
                <c:ptCount val="24"/>
                <c:pt idx="0">
                  <c:v>44196</c:v>
                </c:pt>
                <c:pt idx="1">
                  <c:v>44227</c:v>
                </c:pt>
                <c:pt idx="2">
                  <c:v>44255</c:v>
                </c:pt>
                <c:pt idx="3">
                  <c:v>44286</c:v>
                </c:pt>
                <c:pt idx="4">
                  <c:v>44316</c:v>
                </c:pt>
                <c:pt idx="5">
                  <c:v>44347</c:v>
                </c:pt>
                <c:pt idx="6">
                  <c:v>44377</c:v>
                </c:pt>
                <c:pt idx="7">
                  <c:v>44408</c:v>
                </c:pt>
                <c:pt idx="8">
                  <c:v>44439</c:v>
                </c:pt>
                <c:pt idx="9">
                  <c:v>44469</c:v>
                </c:pt>
                <c:pt idx="10">
                  <c:v>44500</c:v>
                </c:pt>
                <c:pt idx="11">
                  <c:v>44530</c:v>
                </c:pt>
                <c:pt idx="12">
                  <c:v>44561</c:v>
                </c:pt>
                <c:pt idx="13">
                  <c:v>44592</c:v>
                </c:pt>
                <c:pt idx="14">
                  <c:v>44620</c:v>
                </c:pt>
                <c:pt idx="15">
                  <c:v>44651</c:v>
                </c:pt>
                <c:pt idx="16">
                  <c:v>44681</c:v>
                </c:pt>
                <c:pt idx="17">
                  <c:v>44712</c:v>
                </c:pt>
                <c:pt idx="18">
                  <c:v>44742</c:v>
                </c:pt>
                <c:pt idx="19">
                  <c:v>44773</c:v>
                </c:pt>
                <c:pt idx="20">
                  <c:v>44804</c:v>
                </c:pt>
                <c:pt idx="21">
                  <c:v>44834</c:v>
                </c:pt>
                <c:pt idx="22">
                  <c:v>44865</c:v>
                </c:pt>
                <c:pt idx="23">
                  <c:v>44895</c:v>
                </c:pt>
              </c:numCache>
            </c:numRef>
          </c:xVal>
          <c:yVal>
            <c:numRef>
              <c:f>Compare_Plots!$B$4:$B$27</c:f>
              <c:numCache>
                <c:formatCode>0.00</c:formatCode>
                <c:ptCount val="24"/>
                <c:pt idx="0">
                  <c:v>720.00000000000307</c:v>
                </c:pt>
                <c:pt idx="1">
                  <c:v>760.00000000000284</c:v>
                </c:pt>
                <c:pt idx="2">
                  <c:v>679.99999999999829</c:v>
                </c:pt>
                <c:pt idx="3">
                  <c:v>710.00000000000011</c:v>
                </c:pt>
                <c:pt idx="4">
                  <c:v>640.00000000000193</c:v>
                </c:pt>
                <c:pt idx="5">
                  <c:v>630.00000000000034</c:v>
                </c:pt>
                <c:pt idx="6">
                  <c:v>660.00000000000125</c:v>
                </c:pt>
                <c:pt idx="7">
                  <c:v>749.99999999999989</c:v>
                </c:pt>
                <c:pt idx="8">
                  <c:v>800.00000000000273</c:v>
                </c:pt>
                <c:pt idx="9">
                  <c:v>599.64499999999873</c:v>
                </c:pt>
                <c:pt idx="10">
                  <c:v>479.99999999999972</c:v>
                </c:pt>
                <c:pt idx="11">
                  <c:v>500.00000000000017</c:v>
                </c:pt>
                <c:pt idx="12">
                  <c:v>599.99999999999989</c:v>
                </c:pt>
                <c:pt idx="13">
                  <c:v>720.00000000000307</c:v>
                </c:pt>
                <c:pt idx="14">
                  <c:v>639.99999999999807</c:v>
                </c:pt>
                <c:pt idx="15">
                  <c:v>675.00000000000159</c:v>
                </c:pt>
                <c:pt idx="16">
                  <c:v>599.99999999999727</c:v>
                </c:pt>
                <c:pt idx="17">
                  <c:v>599.99999999999989</c:v>
                </c:pt>
                <c:pt idx="18">
                  <c:v>629.99999999999932</c:v>
                </c:pt>
                <c:pt idx="19">
                  <c:v>710.00000000000011</c:v>
                </c:pt>
                <c:pt idx="20">
                  <c:v>760.00000000000284</c:v>
                </c:pt>
                <c:pt idx="21">
                  <c:v>565.00000000000011</c:v>
                </c:pt>
                <c:pt idx="22">
                  <c:v>639.99999999999716</c:v>
                </c:pt>
                <c:pt idx="23">
                  <c:v>640.00000000000193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0-4062-B8F5-CF4921D1568F}"/>
            </c:ext>
          </c:extLst>
        </c:ser>
        <c:ser>
          <c:idx val="1"/>
          <c:order val="1"/>
          <c:tx>
            <c:strRef>
              <c:f>Compare_Plots!$C$3</c:f>
              <c:strCache>
                <c:ptCount val="1"/>
                <c:pt idx="0">
                  <c:v>MTOM</c:v>
                </c:pt>
              </c:strCache>
            </c:strRef>
          </c:tx>
          <c:xVal>
            <c:numRef>
              <c:f>Compare_Plots!$A$4:$A$27</c:f>
              <c:numCache>
                <c:formatCode>m/d/yyyy</c:formatCode>
                <c:ptCount val="24"/>
                <c:pt idx="0">
                  <c:v>44196</c:v>
                </c:pt>
                <c:pt idx="1">
                  <c:v>44227</c:v>
                </c:pt>
                <c:pt idx="2">
                  <c:v>44255</c:v>
                </c:pt>
                <c:pt idx="3">
                  <c:v>44286</c:v>
                </c:pt>
                <c:pt idx="4">
                  <c:v>44316</c:v>
                </c:pt>
                <c:pt idx="5">
                  <c:v>44347</c:v>
                </c:pt>
                <c:pt idx="6">
                  <c:v>44377</c:v>
                </c:pt>
                <c:pt idx="7">
                  <c:v>44408</c:v>
                </c:pt>
                <c:pt idx="8">
                  <c:v>44439</c:v>
                </c:pt>
                <c:pt idx="9">
                  <c:v>44469</c:v>
                </c:pt>
                <c:pt idx="10">
                  <c:v>44500</c:v>
                </c:pt>
                <c:pt idx="11">
                  <c:v>44530</c:v>
                </c:pt>
                <c:pt idx="12">
                  <c:v>44561</c:v>
                </c:pt>
                <c:pt idx="13">
                  <c:v>44592</c:v>
                </c:pt>
                <c:pt idx="14">
                  <c:v>44620</c:v>
                </c:pt>
                <c:pt idx="15">
                  <c:v>44651</c:v>
                </c:pt>
                <c:pt idx="16">
                  <c:v>44681</c:v>
                </c:pt>
                <c:pt idx="17">
                  <c:v>44712</c:v>
                </c:pt>
                <c:pt idx="18">
                  <c:v>44742</c:v>
                </c:pt>
                <c:pt idx="19">
                  <c:v>44773</c:v>
                </c:pt>
                <c:pt idx="20">
                  <c:v>44804</c:v>
                </c:pt>
                <c:pt idx="21">
                  <c:v>44834</c:v>
                </c:pt>
                <c:pt idx="22">
                  <c:v>44865</c:v>
                </c:pt>
                <c:pt idx="23">
                  <c:v>44895</c:v>
                </c:pt>
              </c:numCache>
            </c:numRef>
          </c:xVal>
          <c:yVal>
            <c:numRef>
              <c:f>Compare_Plots!$C$4:$C$27</c:f>
              <c:numCache>
                <c:formatCode>0.00</c:formatCode>
                <c:ptCount val="24"/>
                <c:pt idx="0">
                  <c:v>719.9999999998256</c:v>
                </c:pt>
                <c:pt idx="1">
                  <c:v>759.99999999990598</c:v>
                </c:pt>
                <c:pt idx="2">
                  <c:v>679.99999999974511</c:v>
                </c:pt>
                <c:pt idx="3">
                  <c:v>710.00000000021078</c:v>
                </c:pt>
                <c:pt idx="4">
                  <c:v>639.99999999966485</c:v>
                </c:pt>
                <c:pt idx="5">
                  <c:v>629.64473719114153</c:v>
                </c:pt>
                <c:pt idx="6">
                  <c:v>659.9999999997051</c:v>
                </c:pt>
                <c:pt idx="7">
                  <c:v>750.00000000029127</c:v>
                </c:pt>
                <c:pt idx="8">
                  <c:v>799.99999999998624</c:v>
                </c:pt>
                <c:pt idx="9">
                  <c:v>600.00000000039506</c:v>
                </c:pt>
                <c:pt idx="10">
                  <c:v>480.00000000015393</c:v>
                </c:pt>
                <c:pt idx="11">
                  <c:v>500.00000000019423</c:v>
                </c:pt>
                <c:pt idx="12">
                  <c:v>600.00000000039506</c:v>
                </c:pt>
                <c:pt idx="13">
                  <c:v>719.9999999998256</c:v>
                </c:pt>
                <c:pt idx="14">
                  <c:v>639.99999999966474</c:v>
                </c:pt>
                <c:pt idx="15">
                  <c:v>675.00000000034333</c:v>
                </c:pt>
                <c:pt idx="16">
                  <c:v>600.00000000039506</c:v>
                </c:pt>
                <c:pt idx="17">
                  <c:v>600.00000000039506</c:v>
                </c:pt>
                <c:pt idx="18">
                  <c:v>630.00000000005002</c:v>
                </c:pt>
                <c:pt idx="19">
                  <c:v>710.00000000021078</c:v>
                </c:pt>
                <c:pt idx="20">
                  <c:v>759.99999999990598</c:v>
                </c:pt>
                <c:pt idx="21">
                  <c:v>564.99999999846113</c:v>
                </c:pt>
                <c:pt idx="22">
                  <c:v>639.99999999966485</c:v>
                </c:pt>
                <c:pt idx="23">
                  <c:v>639.99999999966485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50-4062-B8F5-CF4921D1568F}"/>
            </c:ext>
          </c:extLst>
        </c:ser>
        <c:ser>
          <c:idx val="2"/>
          <c:order val="2"/>
          <c:tx>
            <c:strRef>
              <c:f>Compare_Plots!$D$3</c:f>
              <c:strCache>
                <c:ptCount val="1"/>
                <c:pt idx="0">
                  <c:v>Difference</c:v>
                </c:pt>
              </c:strCache>
            </c:strRef>
          </c:tx>
          <c:xVal>
            <c:numRef>
              <c:f>Compare_Plots!$A$4:$A$27</c:f>
              <c:numCache>
                <c:formatCode>m/d/yyyy</c:formatCode>
                <c:ptCount val="24"/>
                <c:pt idx="0">
                  <c:v>44196</c:v>
                </c:pt>
                <c:pt idx="1">
                  <c:v>44227</c:v>
                </c:pt>
                <c:pt idx="2">
                  <c:v>44255</c:v>
                </c:pt>
                <c:pt idx="3">
                  <c:v>44286</c:v>
                </c:pt>
                <c:pt idx="4">
                  <c:v>44316</c:v>
                </c:pt>
                <c:pt idx="5">
                  <c:v>44347</c:v>
                </c:pt>
                <c:pt idx="6">
                  <c:v>44377</c:v>
                </c:pt>
                <c:pt idx="7">
                  <c:v>44408</c:v>
                </c:pt>
                <c:pt idx="8">
                  <c:v>44439</c:v>
                </c:pt>
                <c:pt idx="9">
                  <c:v>44469</c:v>
                </c:pt>
                <c:pt idx="10">
                  <c:v>44500</c:v>
                </c:pt>
                <c:pt idx="11">
                  <c:v>44530</c:v>
                </c:pt>
                <c:pt idx="12">
                  <c:v>44561</c:v>
                </c:pt>
                <c:pt idx="13">
                  <c:v>44592</c:v>
                </c:pt>
                <c:pt idx="14">
                  <c:v>44620</c:v>
                </c:pt>
                <c:pt idx="15">
                  <c:v>44651</c:v>
                </c:pt>
                <c:pt idx="16">
                  <c:v>44681</c:v>
                </c:pt>
                <c:pt idx="17">
                  <c:v>44712</c:v>
                </c:pt>
                <c:pt idx="18">
                  <c:v>44742</c:v>
                </c:pt>
                <c:pt idx="19">
                  <c:v>44773</c:v>
                </c:pt>
                <c:pt idx="20">
                  <c:v>44804</c:v>
                </c:pt>
                <c:pt idx="21">
                  <c:v>44834</c:v>
                </c:pt>
                <c:pt idx="22">
                  <c:v>44865</c:v>
                </c:pt>
                <c:pt idx="23">
                  <c:v>44895</c:v>
                </c:pt>
              </c:numCache>
            </c:numRef>
          </c:xVal>
          <c:yVal>
            <c:numRef>
              <c:f>Compare_Plots!$D$4:$D$27</c:f>
              <c:numCache>
                <c:formatCode>0.00</c:formatCode>
                <c:ptCount val="24"/>
                <c:pt idx="0">
                  <c:v>1.7746515368344262E-10</c:v>
                </c:pt>
                <c:pt idx="1">
                  <c:v>9.6861185738816857E-11</c:v>
                </c:pt>
                <c:pt idx="2">
                  <c:v>2.531805876060389E-10</c:v>
                </c:pt>
                <c:pt idx="3">
                  <c:v>-2.106617102981545E-10</c:v>
                </c:pt>
                <c:pt idx="4">
                  <c:v>3.3708147384459153E-10</c:v>
                </c:pt>
                <c:pt idx="5">
                  <c:v>0.35526280885881079</c:v>
                </c:pt>
                <c:pt idx="6">
                  <c:v>2.9615421226480976E-10</c:v>
                </c:pt>
                <c:pt idx="7">
                  <c:v>-2.9137936508050188E-10</c:v>
                </c:pt>
                <c:pt idx="8">
                  <c:v>1.6484591469634324E-11</c:v>
                </c:pt>
                <c:pt idx="9">
                  <c:v>-0.35500000039633051</c:v>
                </c:pt>
                <c:pt idx="10">
                  <c:v>-1.5421619536937214E-10</c:v>
                </c:pt>
                <c:pt idx="11">
                  <c:v>-1.9406343199079856E-10</c:v>
                </c:pt>
                <c:pt idx="12">
                  <c:v>-3.9517544792033732E-10</c:v>
                </c:pt>
                <c:pt idx="13">
                  <c:v>1.7746515368344262E-10</c:v>
                </c:pt>
                <c:pt idx="14">
                  <c:v>3.333298081997782E-10</c:v>
                </c:pt>
                <c:pt idx="15">
                  <c:v>-3.4174263419117779E-10</c:v>
                </c:pt>
                <c:pt idx="16">
                  <c:v>-3.9779024518793449E-10</c:v>
                </c:pt>
                <c:pt idx="17">
                  <c:v>-3.9517544792033732E-10</c:v>
                </c:pt>
                <c:pt idx="18">
                  <c:v>-5.0704329623840749E-11</c:v>
                </c:pt>
                <c:pt idx="19">
                  <c:v>-2.106617102981545E-10</c:v>
                </c:pt>
                <c:pt idx="20">
                  <c:v>9.6861185738816857E-11</c:v>
                </c:pt>
                <c:pt idx="21">
                  <c:v>1.5389787222375162E-9</c:v>
                </c:pt>
                <c:pt idx="22">
                  <c:v>3.3230662666028365E-10</c:v>
                </c:pt>
                <c:pt idx="23">
                  <c:v>3.3708147384459153E-10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50-4062-B8F5-CF4921D1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13800"/>
        <c:axId val="183417720"/>
      </c:scatterChart>
      <c:valAx>
        <c:axId val="183413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3417720"/>
        <c:crosses val="autoZero"/>
        <c:crossBetween val="midCat"/>
      </c:valAx>
      <c:valAx>
        <c:axId val="183417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3413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D$4" fmlaRange="$AE$8:$AE$19" noThreeD="1" sel="12" val="4"/>
</file>

<file path=xl/ctrlProps/ctrlProp3.xml><?xml version="1.0" encoding="utf-8"?>
<formControlPr xmlns="http://schemas.microsoft.com/office/spreadsheetml/2009/9/main" objectType="Drop" dropLines="15" dropStyle="combo" dx="16" fmlaLink="$A$36" fmlaRange="RunInformation!$F$4:$F$91" noThreeD="1" sel="34" val="28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133350</xdr:rowOff>
        </xdr:from>
        <xdr:to>
          <xdr:col>2</xdr:col>
          <xdr:colOff>447675</xdr:colOff>
          <xdr:row>9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2</xdr:col>
          <xdr:colOff>1019175</xdr:colOff>
          <xdr:row>4</xdr:row>
          <xdr:rowOff>161925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38972</xdr:colOff>
      <xdr:row>4</xdr:row>
      <xdr:rowOff>190838</xdr:rowOff>
    </xdr:from>
    <xdr:to>
      <xdr:col>2</xdr:col>
      <xdr:colOff>1022608</xdr:colOff>
      <xdr:row>5</xdr:row>
      <xdr:rowOff>178896</xdr:rowOff>
    </xdr:to>
    <xdr:sp macro="" textlink="$AD$3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25285" y="1039385"/>
          <a:ext cx="983636" cy="1790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00BD6C4-0C05-4EC6-8A84-7BF5BBC5DE5E}" type="TxLink">
            <a:rPr lang="en-US" sz="1100"/>
            <a:pPr algn="ctr"/>
            <a:t>24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20</xdr:col>
      <xdr:colOff>9525</xdr:colOff>
      <xdr:row>30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</xdr:row>
          <xdr:rowOff>123825</xdr:rowOff>
        </xdr:from>
        <xdr:to>
          <xdr:col>8</xdr:col>
          <xdr:colOff>171450</xdr:colOff>
          <xdr:row>2</xdr:row>
          <xdr:rowOff>133350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352425</xdr:colOff>
          <xdr:row>2</xdr:row>
          <xdr:rowOff>19050</xdr:rowOff>
        </xdr:from>
        <xdr:to>
          <xdr:col>19</xdr:col>
          <xdr:colOff>342900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Diff Trace to 2nd Y-Axis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2:AF91"/>
  <sheetViews>
    <sheetView showGridLines="0" zoomScaleNormal="100" workbookViewId="0">
      <selection activeCell="B38" sqref="B38"/>
    </sheetView>
  </sheetViews>
  <sheetFormatPr defaultColWidth="8.85546875" defaultRowHeight="15" x14ac:dyDescent="0.25"/>
  <cols>
    <col min="1" max="1" width="10" style="80" customWidth="1"/>
    <col min="2" max="2" width="21.28515625" style="80" customWidth="1"/>
    <col min="3" max="3" width="15.85546875" style="80" customWidth="1"/>
    <col min="4" max="4" width="10.5703125" style="80" customWidth="1"/>
    <col min="5" max="5" width="8.85546875" style="80"/>
    <col min="6" max="6" width="26.85546875" style="80" customWidth="1"/>
    <col min="7" max="7" width="14" style="80" customWidth="1"/>
    <col min="8" max="8" width="8.85546875" style="80"/>
    <col min="9" max="9" width="4.42578125" style="80" customWidth="1"/>
    <col min="10" max="10" width="12.85546875" style="80" customWidth="1"/>
    <col min="11" max="28" width="8.85546875" style="80"/>
    <col min="29" max="29" width="11.42578125" style="80" bestFit="1" customWidth="1"/>
    <col min="30" max="30" width="18.140625" style="80" bestFit="1" customWidth="1"/>
    <col min="31" max="31" width="10.85546875" style="80" bestFit="1" customWidth="1"/>
    <col min="32" max="32" width="8.7109375" style="80" bestFit="1" customWidth="1"/>
    <col min="33" max="16384" width="8.85546875" style="80"/>
  </cols>
  <sheetData>
    <row r="2" spans="1:32" ht="21.75" customHeight="1" x14ac:dyDescent="0.3">
      <c r="A2" s="112" t="s">
        <v>0</v>
      </c>
      <c r="B2" s="112"/>
      <c r="C2" s="112"/>
      <c r="D2" s="112"/>
      <c r="E2" s="111" t="s">
        <v>31</v>
      </c>
      <c r="F2" s="111"/>
      <c r="G2" s="111"/>
      <c r="I2" s="108" t="s">
        <v>104</v>
      </c>
      <c r="J2" s="108"/>
      <c r="AD2" s="81">
        <f ca="1">NOW()</f>
        <v>44174.66869259259</v>
      </c>
    </row>
    <row r="3" spans="1:32" x14ac:dyDescent="0.25">
      <c r="A3" s="82"/>
      <c r="B3" s="109" t="s">
        <v>101</v>
      </c>
      <c r="C3" s="110"/>
      <c r="D3" s="83"/>
      <c r="E3" s="84" t="s">
        <v>28</v>
      </c>
      <c r="F3" s="85" t="s">
        <v>29</v>
      </c>
      <c r="G3" s="86" t="s">
        <v>30</v>
      </c>
      <c r="I3" s="84" t="s">
        <v>28</v>
      </c>
      <c r="J3" s="86" t="s">
        <v>103</v>
      </c>
      <c r="AC3" s="87" t="s">
        <v>150</v>
      </c>
      <c r="AD3" s="88">
        <f>LOOKUP(AD4,$AC$8:$AC$19,$AF$8:$AF$19)</f>
        <v>24</v>
      </c>
      <c r="AE3" s="89"/>
      <c r="AF3" s="89"/>
    </row>
    <row r="4" spans="1:32" x14ac:dyDescent="0.25">
      <c r="A4" s="82"/>
      <c r="B4" s="90" t="s">
        <v>105</v>
      </c>
      <c r="C4" s="91">
        <v>44063</v>
      </c>
      <c r="D4" s="83"/>
      <c r="E4" s="92">
        <v>1</v>
      </c>
      <c r="F4" s="93" t="s">
        <v>47</v>
      </c>
      <c r="G4" s="94" t="s">
        <v>27</v>
      </c>
      <c r="I4" s="95">
        <v>1</v>
      </c>
      <c r="J4" s="93">
        <v>12</v>
      </c>
      <c r="AC4" s="87" t="s">
        <v>151</v>
      </c>
      <c r="AD4" s="88">
        <v>12</v>
      </c>
      <c r="AE4" s="89"/>
      <c r="AF4" s="89"/>
    </row>
    <row r="5" spans="1:32" x14ac:dyDescent="0.25">
      <c r="A5" s="82"/>
      <c r="B5" s="90" t="s">
        <v>106</v>
      </c>
      <c r="C5" s="96">
        <v>3</v>
      </c>
      <c r="D5" s="83"/>
      <c r="E5" s="97">
        <v>2</v>
      </c>
      <c r="F5" s="98" t="s">
        <v>108</v>
      </c>
      <c r="G5" s="94" t="s">
        <v>109</v>
      </c>
      <c r="I5" s="99">
        <v>2</v>
      </c>
      <c r="J5" s="98">
        <v>24</v>
      </c>
      <c r="AC5" s="87" t="s">
        <v>152</v>
      </c>
      <c r="AD5" s="100">
        <f>DATE(YEAR(C4),AD4,LOOKUP(AD4,AC8:AC19,AD8:AD19))</f>
        <v>44196</v>
      </c>
      <c r="AE5" s="89"/>
      <c r="AF5" s="89"/>
    </row>
    <row r="6" spans="1:32" ht="16.5" customHeight="1" x14ac:dyDescent="0.25">
      <c r="A6" s="82"/>
      <c r="B6" s="101" t="s">
        <v>107</v>
      </c>
      <c r="C6" s="102">
        <f>LOOKUP(AD3,J4:J13,I4:I13)</f>
        <v>2</v>
      </c>
      <c r="D6" s="103"/>
      <c r="E6" s="97">
        <v>3</v>
      </c>
      <c r="F6" s="98" t="s">
        <v>20</v>
      </c>
      <c r="G6" s="94" t="s">
        <v>26</v>
      </c>
      <c r="I6" s="99">
        <v>3</v>
      </c>
      <c r="J6" s="98">
        <v>25</v>
      </c>
      <c r="AC6" s="89"/>
      <c r="AD6" s="89" t="str">
        <f>IF(OR(MOD(YEAR(AD5),400)=0,AND(MOD(YEAR(AD5),4)=0,MOD(YEAR(AD5),100)&lt;&gt;0)),"Leap Year", "NOT a Leap Year")</f>
        <v>Leap Year</v>
      </c>
      <c r="AE6" s="89"/>
      <c r="AF6" s="89"/>
    </row>
    <row r="7" spans="1:32" x14ac:dyDescent="0.25">
      <c r="A7" s="82"/>
      <c r="B7" s="82"/>
      <c r="C7" s="82">
        <f>LOOKUP(C6,I4:J13)</f>
        <v>24</v>
      </c>
      <c r="D7" s="82"/>
      <c r="E7" s="97">
        <v>4</v>
      </c>
      <c r="F7" s="98" t="s">
        <v>21</v>
      </c>
      <c r="G7" s="94" t="s">
        <v>25</v>
      </c>
      <c r="I7" s="99">
        <v>4</v>
      </c>
      <c r="J7" s="98">
        <v>26</v>
      </c>
      <c r="AC7" s="87" t="s">
        <v>151</v>
      </c>
      <c r="AD7" s="87" t="s">
        <v>153</v>
      </c>
      <c r="AE7" s="87" t="s">
        <v>154</v>
      </c>
      <c r="AF7" s="87" t="s">
        <v>150</v>
      </c>
    </row>
    <row r="8" spans="1:32" x14ac:dyDescent="0.25">
      <c r="A8" s="82"/>
      <c r="B8" s="82"/>
      <c r="C8" s="82"/>
      <c r="D8" s="82"/>
      <c r="E8" s="97">
        <v>5</v>
      </c>
      <c r="F8" s="98" t="s">
        <v>46</v>
      </c>
      <c r="G8" s="94" t="s">
        <v>39</v>
      </c>
      <c r="I8" s="99">
        <v>5</v>
      </c>
      <c r="J8" s="98">
        <v>27</v>
      </c>
      <c r="AC8" s="88">
        <v>1</v>
      </c>
      <c r="AD8" s="88">
        <v>31</v>
      </c>
      <c r="AE8" s="88" t="s">
        <v>138</v>
      </c>
      <c r="AF8" s="88">
        <v>24</v>
      </c>
    </row>
    <row r="9" spans="1:32" x14ac:dyDescent="0.25">
      <c r="A9" s="82"/>
      <c r="B9" s="82"/>
      <c r="C9" s="82"/>
      <c r="D9" s="82"/>
      <c r="E9" s="97">
        <v>6</v>
      </c>
      <c r="F9" s="98" t="s">
        <v>110</v>
      </c>
      <c r="G9" s="94" t="s">
        <v>112</v>
      </c>
      <c r="I9" s="99">
        <v>6</v>
      </c>
      <c r="J9" s="98">
        <v>28</v>
      </c>
      <c r="AC9" s="88">
        <v>2</v>
      </c>
      <c r="AD9" s="88">
        <f ca="1">IF(OR(MOD(YEAR(AD2),400)=0,AND(MOD(YEAR(AD2),4)=0,MOD(YEAR(AD2),100)&lt;&gt;0)),29, 28)</f>
        <v>29</v>
      </c>
      <c r="AE9" s="88" t="s">
        <v>139</v>
      </c>
      <c r="AF9" s="88">
        <v>32</v>
      </c>
    </row>
    <row r="10" spans="1:32" x14ac:dyDescent="0.25">
      <c r="A10" s="82"/>
      <c r="B10" s="82"/>
      <c r="C10" s="82"/>
      <c r="D10" s="82"/>
      <c r="E10" s="97">
        <v>7</v>
      </c>
      <c r="F10" s="98" t="s">
        <v>111</v>
      </c>
      <c r="G10" s="94" t="s">
        <v>113</v>
      </c>
      <c r="I10" s="99">
        <v>7</v>
      </c>
      <c r="J10" s="98">
        <v>29</v>
      </c>
      <c r="AC10" s="88">
        <v>3</v>
      </c>
      <c r="AD10" s="88">
        <v>31</v>
      </c>
      <c r="AE10" s="88" t="s">
        <v>140</v>
      </c>
      <c r="AF10" s="88">
        <v>31</v>
      </c>
    </row>
    <row r="11" spans="1:32" x14ac:dyDescent="0.25">
      <c r="A11" s="80" t="s">
        <v>155</v>
      </c>
      <c r="E11" s="97">
        <v>8</v>
      </c>
      <c r="F11" s="98" t="s">
        <v>40</v>
      </c>
      <c r="G11" s="94" t="s">
        <v>41</v>
      </c>
      <c r="I11" s="99">
        <v>8</v>
      </c>
      <c r="J11" s="98">
        <v>30</v>
      </c>
      <c r="AC11" s="88">
        <v>4</v>
      </c>
      <c r="AD11" s="88">
        <v>30</v>
      </c>
      <c r="AE11" s="88" t="s">
        <v>141</v>
      </c>
      <c r="AF11" s="88">
        <v>30</v>
      </c>
    </row>
    <row r="12" spans="1:32" x14ac:dyDescent="0.25">
      <c r="A12" s="80" t="s">
        <v>102</v>
      </c>
      <c r="E12" s="97">
        <v>9</v>
      </c>
      <c r="F12" s="98" t="s">
        <v>42</v>
      </c>
      <c r="G12" s="94" t="s">
        <v>43</v>
      </c>
      <c r="I12" s="99">
        <v>9</v>
      </c>
      <c r="J12" s="98">
        <v>31</v>
      </c>
      <c r="AC12" s="88">
        <v>5</v>
      </c>
      <c r="AD12" s="88">
        <v>31</v>
      </c>
      <c r="AE12" s="88" t="s">
        <v>142</v>
      </c>
      <c r="AF12" s="88">
        <v>29</v>
      </c>
    </row>
    <row r="13" spans="1:32" x14ac:dyDescent="0.25">
      <c r="E13" s="97">
        <v>10</v>
      </c>
      <c r="F13" s="98" t="s">
        <v>45</v>
      </c>
      <c r="G13" s="94" t="s">
        <v>44</v>
      </c>
      <c r="I13" s="104">
        <v>10</v>
      </c>
      <c r="J13" s="105">
        <v>32</v>
      </c>
      <c r="AC13" s="88">
        <v>6</v>
      </c>
      <c r="AD13" s="88">
        <v>30</v>
      </c>
      <c r="AE13" s="88" t="s">
        <v>143</v>
      </c>
      <c r="AF13" s="88">
        <v>28</v>
      </c>
    </row>
    <row r="14" spans="1:32" x14ac:dyDescent="0.25">
      <c r="E14" s="97">
        <v>11</v>
      </c>
      <c r="F14" s="98" t="s">
        <v>114</v>
      </c>
      <c r="G14" s="94" t="s">
        <v>115</v>
      </c>
      <c r="AC14" s="88">
        <v>7</v>
      </c>
      <c r="AD14" s="88">
        <v>31</v>
      </c>
      <c r="AE14" s="88" t="s">
        <v>144</v>
      </c>
      <c r="AF14" s="88">
        <v>27</v>
      </c>
    </row>
    <row r="15" spans="1:32" x14ac:dyDescent="0.25">
      <c r="E15" s="97">
        <v>12</v>
      </c>
      <c r="F15" s="98" t="s">
        <v>48</v>
      </c>
      <c r="G15" s="94" t="s">
        <v>49</v>
      </c>
      <c r="AC15" s="88">
        <v>8</v>
      </c>
      <c r="AD15" s="88">
        <v>31</v>
      </c>
      <c r="AE15" s="88" t="s">
        <v>145</v>
      </c>
      <c r="AF15" s="88">
        <v>26</v>
      </c>
    </row>
    <row r="16" spans="1:32" x14ac:dyDescent="0.25">
      <c r="E16" s="97">
        <v>13</v>
      </c>
      <c r="F16" s="98" t="s">
        <v>50</v>
      </c>
      <c r="G16" s="94" t="s">
        <v>51</v>
      </c>
      <c r="AC16" s="88">
        <v>9</v>
      </c>
      <c r="AD16" s="88">
        <v>30</v>
      </c>
      <c r="AE16" s="88" t="s">
        <v>146</v>
      </c>
      <c r="AF16" s="88">
        <v>25</v>
      </c>
    </row>
    <row r="17" spans="5:32" x14ac:dyDescent="0.25">
      <c r="E17" s="97">
        <v>14</v>
      </c>
      <c r="F17" s="98" t="s">
        <v>116</v>
      </c>
      <c r="G17" s="94" t="s">
        <v>118</v>
      </c>
      <c r="AC17" s="88">
        <v>10</v>
      </c>
      <c r="AD17" s="88">
        <v>31</v>
      </c>
      <c r="AE17" s="88" t="s">
        <v>147</v>
      </c>
      <c r="AF17" s="88">
        <v>24</v>
      </c>
    </row>
    <row r="18" spans="5:32" x14ac:dyDescent="0.25">
      <c r="E18" s="97">
        <v>15</v>
      </c>
      <c r="F18" s="98" t="s">
        <v>117</v>
      </c>
      <c r="G18" s="94" t="s">
        <v>119</v>
      </c>
      <c r="AC18" s="88">
        <v>11</v>
      </c>
      <c r="AD18" s="88">
        <v>30</v>
      </c>
      <c r="AE18" s="88" t="s">
        <v>148</v>
      </c>
      <c r="AF18" s="88">
        <v>24</v>
      </c>
    </row>
    <row r="19" spans="5:32" x14ac:dyDescent="0.25">
      <c r="E19" s="97">
        <v>16</v>
      </c>
      <c r="F19" s="98" t="s">
        <v>52</v>
      </c>
      <c r="G19" s="94" t="s">
        <v>53</v>
      </c>
      <c r="AC19" s="88">
        <v>12</v>
      </c>
      <c r="AD19" s="88">
        <v>31</v>
      </c>
      <c r="AE19" s="88" t="s">
        <v>149</v>
      </c>
      <c r="AF19" s="88">
        <v>24</v>
      </c>
    </row>
    <row r="20" spans="5:32" x14ac:dyDescent="0.25">
      <c r="E20" s="97">
        <v>17</v>
      </c>
      <c r="F20" s="98" t="s">
        <v>54</v>
      </c>
      <c r="G20" s="94" t="s">
        <v>55</v>
      </c>
    </row>
    <row r="21" spans="5:32" x14ac:dyDescent="0.25">
      <c r="E21" s="97">
        <v>18</v>
      </c>
      <c r="F21" s="98" t="s">
        <v>64</v>
      </c>
      <c r="G21" s="94" t="s">
        <v>67</v>
      </c>
    </row>
    <row r="22" spans="5:32" x14ac:dyDescent="0.25">
      <c r="E22" s="97">
        <v>19</v>
      </c>
      <c r="F22" s="98" t="s">
        <v>65</v>
      </c>
      <c r="G22" s="94" t="s">
        <v>68</v>
      </c>
    </row>
    <row r="23" spans="5:32" x14ac:dyDescent="0.25">
      <c r="E23" s="97">
        <v>20</v>
      </c>
      <c r="F23" s="98" t="s">
        <v>66</v>
      </c>
      <c r="G23" s="94" t="s">
        <v>69</v>
      </c>
    </row>
    <row r="24" spans="5:32" x14ac:dyDescent="0.25">
      <c r="E24" s="97">
        <v>21</v>
      </c>
      <c r="F24" s="98" t="s">
        <v>71</v>
      </c>
      <c r="G24" s="94" t="s">
        <v>72</v>
      </c>
    </row>
    <row r="25" spans="5:32" x14ac:dyDescent="0.25">
      <c r="E25" s="97">
        <v>22</v>
      </c>
      <c r="F25" s="98" t="s">
        <v>120</v>
      </c>
      <c r="G25" s="94" t="s">
        <v>121</v>
      </c>
    </row>
    <row r="26" spans="5:32" x14ac:dyDescent="0.25">
      <c r="E26" s="97">
        <v>23</v>
      </c>
      <c r="F26" s="98" t="s">
        <v>70</v>
      </c>
      <c r="G26" s="94" t="s">
        <v>73</v>
      </c>
    </row>
    <row r="27" spans="5:32" x14ac:dyDescent="0.25">
      <c r="E27" s="97">
        <v>24</v>
      </c>
      <c r="F27" s="98" t="s">
        <v>86</v>
      </c>
      <c r="G27" s="94" t="s">
        <v>89</v>
      </c>
    </row>
    <row r="28" spans="5:32" x14ac:dyDescent="0.25">
      <c r="E28" s="97">
        <v>25</v>
      </c>
      <c r="F28" s="98" t="s">
        <v>122</v>
      </c>
      <c r="G28" s="94" t="s">
        <v>124</v>
      </c>
    </row>
    <row r="29" spans="5:32" x14ac:dyDescent="0.25">
      <c r="E29" s="97">
        <v>26</v>
      </c>
      <c r="F29" s="98" t="s">
        <v>123</v>
      </c>
      <c r="G29" s="94" t="s">
        <v>125</v>
      </c>
    </row>
    <row r="30" spans="5:32" x14ac:dyDescent="0.25">
      <c r="E30" s="97">
        <v>27</v>
      </c>
      <c r="F30" s="98" t="s">
        <v>87</v>
      </c>
      <c r="G30" s="94" t="s">
        <v>90</v>
      </c>
    </row>
    <row r="31" spans="5:32" x14ac:dyDescent="0.25">
      <c r="E31" s="97">
        <v>28</v>
      </c>
      <c r="F31" s="98" t="s">
        <v>88</v>
      </c>
      <c r="G31" s="94" t="s">
        <v>91</v>
      </c>
    </row>
    <row r="32" spans="5:32" x14ac:dyDescent="0.25">
      <c r="E32" s="97">
        <v>29</v>
      </c>
      <c r="F32" s="98" t="s">
        <v>74</v>
      </c>
      <c r="G32" s="94" t="s">
        <v>77</v>
      </c>
    </row>
    <row r="33" spans="5:7" x14ac:dyDescent="0.25">
      <c r="E33" s="97">
        <v>30</v>
      </c>
      <c r="F33" s="98" t="s">
        <v>128</v>
      </c>
      <c r="G33" s="94" t="s">
        <v>133</v>
      </c>
    </row>
    <row r="34" spans="5:7" x14ac:dyDescent="0.25">
      <c r="E34" s="97">
        <v>31</v>
      </c>
      <c r="F34" s="98" t="s">
        <v>126</v>
      </c>
      <c r="G34" s="94" t="s">
        <v>132</v>
      </c>
    </row>
    <row r="35" spans="5:7" x14ac:dyDescent="0.25">
      <c r="E35" s="97">
        <v>32</v>
      </c>
      <c r="F35" s="98" t="s">
        <v>127</v>
      </c>
      <c r="G35" s="94" t="s">
        <v>131</v>
      </c>
    </row>
    <row r="36" spans="5:7" x14ac:dyDescent="0.25">
      <c r="E36" s="97">
        <v>33</v>
      </c>
      <c r="F36" s="98" t="s">
        <v>129</v>
      </c>
      <c r="G36" s="94" t="s">
        <v>130</v>
      </c>
    </row>
    <row r="37" spans="5:7" x14ac:dyDescent="0.25">
      <c r="E37" s="97">
        <v>34</v>
      </c>
      <c r="F37" s="98" t="s">
        <v>75</v>
      </c>
      <c r="G37" s="94" t="s">
        <v>78</v>
      </c>
    </row>
    <row r="38" spans="5:7" x14ac:dyDescent="0.25">
      <c r="E38" s="97">
        <v>35</v>
      </c>
      <c r="F38" s="98" t="s">
        <v>76</v>
      </c>
      <c r="G38" s="94" t="s">
        <v>79</v>
      </c>
    </row>
    <row r="39" spans="5:7" x14ac:dyDescent="0.25">
      <c r="E39" s="97">
        <v>36</v>
      </c>
      <c r="F39" s="98" t="s">
        <v>80</v>
      </c>
      <c r="G39" s="94" t="s">
        <v>82</v>
      </c>
    </row>
    <row r="40" spans="5:7" x14ac:dyDescent="0.25">
      <c r="E40" s="97">
        <v>37</v>
      </c>
      <c r="F40" s="98" t="s">
        <v>81</v>
      </c>
      <c r="G40" s="94" t="s">
        <v>83</v>
      </c>
    </row>
    <row r="41" spans="5:7" x14ac:dyDescent="0.25">
      <c r="E41" s="97">
        <v>38</v>
      </c>
      <c r="F41" s="98" t="s">
        <v>84</v>
      </c>
      <c r="G41" s="94" t="s">
        <v>85</v>
      </c>
    </row>
    <row r="42" spans="5:7" x14ac:dyDescent="0.25">
      <c r="E42" s="97">
        <v>39</v>
      </c>
      <c r="F42" s="98" t="s">
        <v>92</v>
      </c>
      <c r="G42" s="94" t="s">
        <v>95</v>
      </c>
    </row>
    <row r="43" spans="5:7" x14ac:dyDescent="0.25">
      <c r="E43" s="97">
        <v>40</v>
      </c>
      <c r="F43" s="98" t="s">
        <v>93</v>
      </c>
      <c r="G43" s="94" t="s">
        <v>96</v>
      </c>
    </row>
    <row r="44" spans="5:7" x14ac:dyDescent="0.25">
      <c r="E44" s="97">
        <v>41</v>
      </c>
      <c r="F44" s="98" t="s">
        <v>94</v>
      </c>
      <c r="G44" s="94" t="s">
        <v>97</v>
      </c>
    </row>
    <row r="45" spans="5:7" x14ac:dyDescent="0.25">
      <c r="E45" s="97">
        <v>42</v>
      </c>
      <c r="F45" s="98" t="s">
        <v>24</v>
      </c>
      <c r="G45" s="94" t="s">
        <v>32</v>
      </c>
    </row>
    <row r="46" spans="5:7" x14ac:dyDescent="0.25">
      <c r="E46" s="97">
        <v>43</v>
      </c>
      <c r="F46" s="98" t="s">
        <v>23</v>
      </c>
      <c r="G46" s="94" t="s">
        <v>33</v>
      </c>
    </row>
    <row r="47" spans="5:7" x14ac:dyDescent="0.25">
      <c r="E47" s="97">
        <v>44</v>
      </c>
      <c r="F47" s="98" t="s">
        <v>22</v>
      </c>
      <c r="G47" s="94" t="s">
        <v>34</v>
      </c>
    </row>
    <row r="48" spans="5:7" x14ac:dyDescent="0.25">
      <c r="E48" s="97">
        <v>45</v>
      </c>
      <c r="F48" s="98" t="s">
        <v>16</v>
      </c>
      <c r="G48" s="94" t="s">
        <v>35</v>
      </c>
    </row>
    <row r="49" spans="5:7" x14ac:dyDescent="0.25">
      <c r="E49" s="97">
        <v>46</v>
      </c>
      <c r="F49" s="98" t="s">
        <v>17</v>
      </c>
      <c r="G49" s="94" t="s">
        <v>36</v>
      </c>
    </row>
    <row r="50" spans="5:7" x14ac:dyDescent="0.25">
      <c r="E50" s="97">
        <v>47</v>
      </c>
      <c r="F50" s="98" t="s">
        <v>18</v>
      </c>
      <c r="G50" s="94" t="s">
        <v>98</v>
      </c>
    </row>
    <row r="51" spans="5:7" x14ac:dyDescent="0.25">
      <c r="E51" s="97">
        <v>48</v>
      </c>
      <c r="F51" s="98"/>
      <c r="G51" s="94"/>
    </row>
    <row r="52" spans="5:7" x14ac:dyDescent="0.25">
      <c r="E52" s="97">
        <v>49</v>
      </c>
      <c r="F52" s="98"/>
      <c r="G52" s="94"/>
    </row>
    <row r="53" spans="5:7" x14ac:dyDescent="0.25">
      <c r="E53" s="97">
        <v>50</v>
      </c>
      <c r="F53" s="98"/>
      <c r="G53" s="94"/>
    </row>
    <row r="54" spans="5:7" x14ac:dyDescent="0.25">
      <c r="E54" s="97">
        <v>51</v>
      </c>
      <c r="F54" s="98"/>
      <c r="G54" s="94"/>
    </row>
    <row r="55" spans="5:7" x14ac:dyDescent="0.25">
      <c r="E55" s="97">
        <v>52</v>
      </c>
      <c r="F55" s="98"/>
      <c r="G55" s="94"/>
    </row>
    <row r="56" spans="5:7" x14ac:dyDescent="0.25">
      <c r="E56" s="97">
        <v>53</v>
      </c>
      <c r="F56" s="98"/>
      <c r="G56" s="94"/>
    </row>
    <row r="57" spans="5:7" x14ac:dyDescent="0.25">
      <c r="E57" s="97">
        <v>54</v>
      </c>
      <c r="F57" s="98"/>
      <c r="G57" s="94"/>
    </row>
    <row r="58" spans="5:7" x14ac:dyDescent="0.25">
      <c r="E58" s="97">
        <v>55</v>
      </c>
      <c r="F58" s="98"/>
      <c r="G58" s="94"/>
    </row>
    <row r="59" spans="5:7" x14ac:dyDescent="0.25">
      <c r="E59" s="97">
        <v>56</v>
      </c>
      <c r="F59" s="98"/>
      <c r="G59" s="94"/>
    </row>
    <row r="60" spans="5:7" x14ac:dyDescent="0.25">
      <c r="E60" s="97">
        <v>57</v>
      </c>
      <c r="F60" s="98"/>
      <c r="G60" s="94"/>
    </row>
    <row r="61" spans="5:7" x14ac:dyDescent="0.25">
      <c r="E61" s="97">
        <v>58</v>
      </c>
      <c r="F61" s="98"/>
      <c r="G61" s="94"/>
    </row>
    <row r="62" spans="5:7" x14ac:dyDescent="0.25">
      <c r="E62" s="97">
        <v>59</v>
      </c>
      <c r="F62" s="98"/>
      <c r="G62" s="94"/>
    </row>
    <row r="63" spans="5:7" x14ac:dyDescent="0.25">
      <c r="E63" s="97">
        <v>60</v>
      </c>
      <c r="F63" s="98"/>
      <c r="G63" s="94"/>
    </row>
    <row r="64" spans="5:7" x14ac:dyDescent="0.25">
      <c r="E64" s="97">
        <v>61</v>
      </c>
      <c r="F64" s="98"/>
      <c r="G64" s="94"/>
    </row>
    <row r="65" spans="5:7" x14ac:dyDescent="0.25">
      <c r="E65" s="97">
        <v>62</v>
      </c>
      <c r="F65" s="98"/>
      <c r="G65" s="94"/>
    </row>
    <row r="66" spans="5:7" x14ac:dyDescent="0.25">
      <c r="E66" s="97">
        <v>63</v>
      </c>
      <c r="F66" s="98"/>
      <c r="G66" s="94"/>
    </row>
    <row r="67" spans="5:7" x14ac:dyDescent="0.25">
      <c r="E67" s="97">
        <v>64</v>
      </c>
      <c r="F67" s="98"/>
      <c r="G67" s="94"/>
    </row>
    <row r="68" spans="5:7" x14ac:dyDescent="0.25">
      <c r="E68" s="97">
        <v>65</v>
      </c>
      <c r="F68" s="98"/>
      <c r="G68" s="94"/>
    </row>
    <row r="69" spans="5:7" x14ac:dyDescent="0.25">
      <c r="E69" s="97">
        <v>66</v>
      </c>
      <c r="F69" s="98"/>
      <c r="G69" s="94"/>
    </row>
    <row r="70" spans="5:7" x14ac:dyDescent="0.25">
      <c r="E70" s="97">
        <v>67</v>
      </c>
      <c r="F70" s="98"/>
      <c r="G70" s="94"/>
    </row>
    <row r="71" spans="5:7" x14ac:dyDescent="0.25">
      <c r="E71" s="97">
        <v>68</v>
      </c>
      <c r="F71" s="98"/>
      <c r="G71" s="94"/>
    </row>
    <row r="72" spans="5:7" x14ac:dyDescent="0.25">
      <c r="E72" s="97">
        <v>69</v>
      </c>
      <c r="F72" s="98"/>
      <c r="G72" s="94"/>
    </row>
    <row r="73" spans="5:7" x14ac:dyDescent="0.25">
      <c r="E73" s="97">
        <v>70</v>
      </c>
      <c r="F73" s="98"/>
      <c r="G73" s="94"/>
    </row>
    <row r="74" spans="5:7" x14ac:dyDescent="0.25">
      <c r="E74" s="97">
        <v>71</v>
      </c>
      <c r="F74" s="98"/>
      <c r="G74" s="94"/>
    </row>
    <row r="75" spans="5:7" x14ac:dyDescent="0.25">
      <c r="E75" s="97">
        <v>72</v>
      </c>
      <c r="F75" s="98"/>
      <c r="G75" s="94"/>
    </row>
    <row r="76" spans="5:7" x14ac:dyDescent="0.25">
      <c r="E76" s="97">
        <v>73</v>
      </c>
      <c r="F76" s="98"/>
      <c r="G76" s="94"/>
    </row>
    <row r="77" spans="5:7" x14ac:dyDescent="0.25">
      <c r="E77" s="97">
        <v>74</v>
      </c>
      <c r="F77" s="98"/>
      <c r="G77" s="94"/>
    </row>
    <row r="78" spans="5:7" x14ac:dyDescent="0.25">
      <c r="E78" s="106">
        <v>75</v>
      </c>
      <c r="F78" s="98"/>
      <c r="G78" s="94"/>
    </row>
    <row r="79" spans="5:7" x14ac:dyDescent="0.25">
      <c r="F79" s="98"/>
      <c r="G79" s="94"/>
    </row>
    <row r="80" spans="5:7" x14ac:dyDescent="0.25">
      <c r="F80" s="98"/>
      <c r="G80" s="94"/>
    </row>
    <row r="81" spans="6:7" x14ac:dyDescent="0.25">
      <c r="F81" s="98"/>
      <c r="G81" s="94"/>
    </row>
    <row r="82" spans="6:7" x14ac:dyDescent="0.25">
      <c r="F82" s="98"/>
      <c r="G82" s="94"/>
    </row>
    <row r="83" spans="6:7" x14ac:dyDescent="0.25">
      <c r="F83" s="98"/>
      <c r="G83" s="94"/>
    </row>
    <row r="84" spans="6:7" x14ac:dyDescent="0.25">
      <c r="F84" s="98"/>
      <c r="G84" s="94"/>
    </row>
    <row r="85" spans="6:7" x14ac:dyDescent="0.25">
      <c r="F85" s="98"/>
      <c r="G85" s="94"/>
    </row>
    <row r="86" spans="6:7" x14ac:dyDescent="0.25">
      <c r="F86" s="98"/>
      <c r="G86" s="94"/>
    </row>
    <row r="87" spans="6:7" x14ac:dyDescent="0.25">
      <c r="F87" s="98"/>
      <c r="G87" s="94"/>
    </row>
    <row r="88" spans="6:7" x14ac:dyDescent="0.25">
      <c r="F88" s="98"/>
      <c r="G88" s="94"/>
    </row>
    <row r="89" spans="6:7" x14ac:dyDescent="0.25">
      <c r="F89" s="98"/>
      <c r="G89" s="94"/>
    </row>
    <row r="90" spans="6:7" x14ac:dyDescent="0.25">
      <c r="F90" s="98"/>
      <c r="G90" s="94"/>
    </row>
    <row r="91" spans="6:7" x14ac:dyDescent="0.25">
      <c r="F91" s="105"/>
      <c r="G91" s="107"/>
    </row>
  </sheetData>
  <mergeCells count="4">
    <mergeCell ref="I2:J2"/>
    <mergeCell ref="B3:C3"/>
    <mergeCell ref="E2:G2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1</xdr:col>
                    <xdr:colOff>304800</xdr:colOff>
                    <xdr:row>7</xdr:row>
                    <xdr:rowOff>133350</xdr:rowOff>
                  </from>
                  <to>
                    <xdr:col>2</xdr:col>
                    <xdr:colOff>447675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 macro="[0]!NewNamedRanges">
                <anchor moveWithCells="1">
                  <from>
                    <xdr:col>2</xdr:col>
                    <xdr:colOff>38100</xdr:colOff>
                    <xdr:row>4</xdr:row>
                    <xdr:rowOff>9525</xdr:rowOff>
                  </from>
                  <to>
                    <xdr:col>2</xdr:col>
                    <xdr:colOff>1019175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:AW35"/>
  <sheetViews>
    <sheetView zoomScale="90" zoomScaleNormal="90" workbookViewId="0">
      <selection activeCell="A27" sqref="A27"/>
    </sheetView>
  </sheetViews>
  <sheetFormatPr defaultRowHeight="15" x14ac:dyDescent="0.25"/>
  <cols>
    <col min="1" max="1" width="16.5703125" customWidth="1"/>
    <col min="2" max="2" width="9.28515625" bestFit="1" customWidth="1"/>
    <col min="3" max="3" width="9.28515625" customWidth="1"/>
    <col min="4" max="5" width="9.28515625" bestFit="1" customWidth="1"/>
    <col min="6" max="8" width="9.85546875" customWidth="1"/>
    <col min="9" max="10" width="9.28515625" bestFit="1" customWidth="1"/>
    <col min="11" max="12" width="9.85546875" customWidth="1"/>
    <col min="13" max="13" width="9.28515625" bestFit="1" customWidth="1"/>
    <col min="14" max="16" width="9.7109375" customWidth="1"/>
    <col min="17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30" width="9.28515625" bestFit="1" customWidth="1"/>
    <col min="31" max="34" width="9.28515625" customWidth="1"/>
    <col min="35" max="37" width="9.28515625" bestFit="1" customWidth="1"/>
    <col min="38" max="38" width="10.5703125" bestFit="1" customWidth="1"/>
    <col min="39" max="40" width="9.28515625" bestFit="1" customWidth="1"/>
    <col min="41" max="41" width="10.5703125" bestFit="1" customWidth="1"/>
    <col min="42" max="42" width="9.28515625" bestFit="1" customWidth="1"/>
    <col min="43" max="43" width="10" customWidth="1"/>
    <col min="44" max="44" width="10.85546875" customWidth="1"/>
    <col min="45" max="45" width="9.28515625" bestFit="1" customWidth="1"/>
    <col min="46" max="46" width="28.28515625" customWidth="1"/>
    <col min="47" max="47" width="19.28515625" customWidth="1"/>
    <col min="48" max="48" width="18.85546875" customWidth="1"/>
  </cols>
  <sheetData>
    <row r="1" spans="1:49" ht="18.75" x14ac:dyDescent="0.3">
      <c r="A1" s="36"/>
      <c r="B1" s="113" t="s">
        <v>56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60"/>
      <c r="AA1" s="60"/>
      <c r="AB1" s="114" t="s">
        <v>56</v>
      </c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5"/>
    </row>
    <row r="2" spans="1:49" x14ac:dyDescent="0.25">
      <c r="A2" s="4"/>
      <c r="B2" s="117" t="s">
        <v>7</v>
      </c>
      <c r="C2" s="117"/>
      <c r="D2" s="116"/>
      <c r="E2" s="118"/>
      <c r="F2" s="116" t="s">
        <v>6</v>
      </c>
      <c r="G2" s="116"/>
      <c r="H2" s="116"/>
      <c r="I2" s="116"/>
      <c r="J2" s="116"/>
      <c r="K2" s="117" t="s">
        <v>5</v>
      </c>
      <c r="L2" s="119"/>
      <c r="M2" s="118"/>
      <c r="N2" s="116" t="s">
        <v>4</v>
      </c>
      <c r="O2" s="116"/>
      <c r="P2" s="116"/>
      <c r="Q2" s="116"/>
      <c r="R2" s="116"/>
      <c r="S2" s="117" t="s">
        <v>8</v>
      </c>
      <c r="T2" s="116"/>
      <c r="U2" s="118"/>
      <c r="V2" s="116" t="s">
        <v>9</v>
      </c>
      <c r="W2" s="116"/>
      <c r="X2" s="116"/>
      <c r="Y2" s="117" t="s">
        <v>10</v>
      </c>
      <c r="Z2" s="117"/>
      <c r="AA2" s="117"/>
      <c r="AB2" s="116"/>
      <c r="AC2" s="118"/>
      <c r="AD2" s="116" t="s">
        <v>11</v>
      </c>
      <c r="AE2" s="116"/>
      <c r="AF2" s="116"/>
      <c r="AG2" s="116"/>
      <c r="AH2" s="116"/>
      <c r="AI2" s="116"/>
      <c r="AJ2" s="116"/>
      <c r="AK2" s="117" t="s">
        <v>12</v>
      </c>
      <c r="AL2" s="116"/>
      <c r="AM2" s="118"/>
      <c r="AN2" s="116" t="s">
        <v>14</v>
      </c>
      <c r="AO2" s="116"/>
      <c r="AP2" s="116"/>
      <c r="AQ2" s="117" t="s">
        <v>15</v>
      </c>
      <c r="AR2" s="116"/>
      <c r="AS2" s="118"/>
      <c r="AT2" s="18" t="s">
        <v>16</v>
      </c>
      <c r="AU2" s="2" t="s">
        <v>17</v>
      </c>
      <c r="AV2" s="18" t="s">
        <v>18</v>
      </c>
    </row>
    <row r="3" spans="1:49" x14ac:dyDescent="0.25">
      <c r="A3" s="5"/>
      <c r="B3" s="20" t="s">
        <v>1</v>
      </c>
      <c r="C3" s="20" t="s">
        <v>134</v>
      </c>
      <c r="D3" s="20" t="s">
        <v>2</v>
      </c>
      <c r="E3" s="20" t="s">
        <v>3</v>
      </c>
      <c r="F3" s="19" t="s">
        <v>1</v>
      </c>
      <c r="G3" s="20" t="s">
        <v>134</v>
      </c>
      <c r="H3" s="20" t="s">
        <v>135</v>
      </c>
      <c r="I3" s="20" t="s">
        <v>2</v>
      </c>
      <c r="J3" s="21" t="s">
        <v>3</v>
      </c>
      <c r="K3" s="20" t="s">
        <v>1</v>
      </c>
      <c r="L3" s="20" t="s">
        <v>134</v>
      </c>
      <c r="M3" s="20" t="s">
        <v>2</v>
      </c>
      <c r="N3" s="19" t="s">
        <v>1</v>
      </c>
      <c r="O3" s="20" t="s">
        <v>134</v>
      </c>
      <c r="P3" s="20" t="s">
        <v>135</v>
      </c>
      <c r="Q3" s="20" t="s">
        <v>2</v>
      </c>
      <c r="R3" s="21" t="s">
        <v>3</v>
      </c>
      <c r="S3" s="20" t="s">
        <v>1</v>
      </c>
      <c r="T3" s="20" t="s">
        <v>2</v>
      </c>
      <c r="U3" s="20" t="s">
        <v>3</v>
      </c>
      <c r="V3" s="19" t="s">
        <v>1</v>
      </c>
      <c r="W3" s="20" t="s">
        <v>134</v>
      </c>
      <c r="X3" s="21" t="s">
        <v>2</v>
      </c>
      <c r="Y3" s="20" t="s">
        <v>1</v>
      </c>
      <c r="Z3" s="20" t="s">
        <v>134</v>
      </c>
      <c r="AA3" s="20" t="s">
        <v>135</v>
      </c>
      <c r="AB3" s="20" t="s">
        <v>2</v>
      </c>
      <c r="AC3" s="20" t="s">
        <v>3</v>
      </c>
      <c r="AD3" s="19" t="s">
        <v>1</v>
      </c>
      <c r="AE3" s="20" t="s">
        <v>136</v>
      </c>
      <c r="AF3" s="20" t="s">
        <v>134</v>
      </c>
      <c r="AG3" s="20" t="s">
        <v>135</v>
      </c>
      <c r="AH3" s="20" t="s">
        <v>137</v>
      </c>
      <c r="AI3" s="20" t="s">
        <v>2</v>
      </c>
      <c r="AJ3" s="21" t="s">
        <v>3</v>
      </c>
      <c r="AK3" s="20" t="s">
        <v>1</v>
      </c>
      <c r="AL3" s="20" t="s">
        <v>2</v>
      </c>
      <c r="AM3" s="20" t="s">
        <v>13</v>
      </c>
      <c r="AN3" s="19" t="s">
        <v>1</v>
      </c>
      <c r="AO3" s="20" t="s">
        <v>2</v>
      </c>
      <c r="AP3" s="21" t="s">
        <v>13</v>
      </c>
      <c r="AQ3" s="20" t="s">
        <v>1</v>
      </c>
      <c r="AR3" s="20" t="s">
        <v>2</v>
      </c>
      <c r="AS3" s="20" t="s">
        <v>13</v>
      </c>
      <c r="AT3" s="22" t="s">
        <v>19</v>
      </c>
      <c r="AU3" s="20" t="s">
        <v>19</v>
      </c>
      <c r="AV3" s="22" t="s">
        <v>19</v>
      </c>
    </row>
    <row r="4" spans="1:49" ht="14.45" customHeight="1" x14ac:dyDescent="0.25">
      <c r="A4" s="23">
        <f>RunInformation!AD5</f>
        <v>44196</v>
      </c>
      <c r="B4" s="71">
        <v>6483.9770918307013</v>
      </c>
      <c r="C4" s="71">
        <v>27.000000000000004</v>
      </c>
      <c r="D4" s="71">
        <v>50.730000000000025</v>
      </c>
      <c r="E4" s="71">
        <v>0</v>
      </c>
      <c r="F4" s="70">
        <v>6025.1281268700723</v>
      </c>
      <c r="G4" s="71">
        <v>51.730000000086534</v>
      </c>
      <c r="H4" s="71">
        <v>28.000000000000004</v>
      </c>
      <c r="I4" s="71">
        <v>57.8</v>
      </c>
      <c r="J4" s="72">
        <v>0</v>
      </c>
      <c r="K4" s="71">
        <v>9307.3366932742683</v>
      </c>
      <c r="L4" s="71">
        <v>3.5000000000000027</v>
      </c>
      <c r="M4" s="71">
        <v>5.200000000000002</v>
      </c>
      <c r="N4" s="70">
        <v>7464.5794566272889</v>
      </c>
      <c r="O4" s="71">
        <v>20.699999999992979</v>
      </c>
      <c r="P4" s="71">
        <v>18.999999999999979</v>
      </c>
      <c r="Q4" s="71">
        <v>20.620000000000012</v>
      </c>
      <c r="R4" s="72">
        <v>0</v>
      </c>
      <c r="S4" s="71">
        <v>6749.6333542978937</v>
      </c>
      <c r="T4" s="71">
        <v>24.504705652272655</v>
      </c>
      <c r="U4" s="71">
        <v>0</v>
      </c>
      <c r="V4" s="70">
        <v>7624.6534468831933</v>
      </c>
      <c r="W4" s="71">
        <v>2.7999999999999994</v>
      </c>
      <c r="X4" s="72">
        <v>0.37000000000000022</v>
      </c>
      <c r="Y4" s="71">
        <v>6037.5708349409379</v>
      </c>
      <c r="Z4" s="71">
        <v>11.570000000009378</v>
      </c>
      <c r="AA4" s="71">
        <v>14.000000000000002</v>
      </c>
      <c r="AB4" s="78">
        <v>18.690000000000023</v>
      </c>
      <c r="AC4" s="71">
        <v>0</v>
      </c>
      <c r="AD4" s="70">
        <v>3582.7160070209934</v>
      </c>
      <c r="AE4" s="71">
        <v>10174.000036313078</v>
      </c>
      <c r="AF4" s="71">
        <v>265.99470565233327</v>
      </c>
      <c r="AG4" s="71">
        <v>230.00000000000023</v>
      </c>
      <c r="AH4" s="71">
        <v>22.671070474941349</v>
      </c>
      <c r="AI4" s="71">
        <v>720.00000000000307</v>
      </c>
      <c r="AJ4" s="72">
        <v>0</v>
      </c>
      <c r="AK4" s="71">
        <v>1083.9637285006552</v>
      </c>
      <c r="AL4" s="71">
        <v>488775.01976302662</v>
      </c>
      <c r="AM4" s="71">
        <v>189.35481411700002</v>
      </c>
      <c r="AN4" s="70">
        <v>639.80540358267649</v>
      </c>
      <c r="AO4" s="71">
        <v>467959.98303192953</v>
      </c>
      <c r="AP4" s="72">
        <v>58.599464366900001</v>
      </c>
      <c r="AQ4" s="71">
        <v>446.49999999999949</v>
      </c>
      <c r="AR4" s="71">
        <v>270936.0200009126</v>
      </c>
      <c r="AS4" s="71">
        <v>16913.0404232</v>
      </c>
      <c r="AT4" s="73">
        <v>235.82603999958494</v>
      </c>
      <c r="AU4" s="71">
        <v>99000.000000041953</v>
      </c>
      <c r="AV4" s="73">
        <v>128083.99999995989</v>
      </c>
      <c r="AW4" s="40"/>
    </row>
    <row r="5" spans="1:49" ht="14.45" customHeight="1" x14ac:dyDescent="0.25">
      <c r="A5" s="23">
        <f>EOMONTH(A4,1)</f>
        <v>44227</v>
      </c>
      <c r="B5" s="75">
        <v>6479.5110775262401</v>
      </c>
      <c r="C5" s="75">
        <v>26.000000000000007</v>
      </c>
      <c r="D5" s="75">
        <v>50.730000000000025</v>
      </c>
      <c r="E5" s="75">
        <v>0</v>
      </c>
      <c r="F5" s="74">
        <v>6025.1081018044551</v>
      </c>
      <c r="G5" s="75">
        <v>58.729999999918412</v>
      </c>
      <c r="H5" s="75">
        <v>33.999999999999972</v>
      </c>
      <c r="I5" s="75">
        <v>57.8</v>
      </c>
      <c r="J5" s="76">
        <v>0</v>
      </c>
      <c r="K5" s="75">
        <v>9306.0147160432971</v>
      </c>
      <c r="L5" s="75">
        <v>3.1999999999999975</v>
      </c>
      <c r="M5" s="75">
        <v>5.200000000000002</v>
      </c>
      <c r="N5" s="74">
        <v>7464.4600524934312</v>
      </c>
      <c r="O5" s="75">
        <v>20.000000000009791</v>
      </c>
      <c r="P5" s="75">
        <v>17.999999999999982</v>
      </c>
      <c r="Q5" s="75">
        <v>20.620000000000012</v>
      </c>
      <c r="R5" s="76">
        <v>0</v>
      </c>
      <c r="S5" s="75">
        <v>6749.6333542978937</v>
      </c>
      <c r="T5" s="75">
        <v>24.595728604011057</v>
      </c>
      <c r="U5" s="75">
        <v>0</v>
      </c>
      <c r="V5" s="74">
        <v>7625.9670325787329</v>
      </c>
      <c r="W5" s="75">
        <v>2.5000000000000013</v>
      </c>
      <c r="X5" s="76">
        <v>0.37000000000000022</v>
      </c>
      <c r="Y5" s="75">
        <v>6036.5319247047182</v>
      </c>
      <c r="Z5" s="75">
        <v>9.8699999999974697</v>
      </c>
      <c r="AA5" s="75">
        <v>12.000000000000009</v>
      </c>
      <c r="AB5" s="79">
        <v>20.329999999999973</v>
      </c>
      <c r="AC5" s="75">
        <v>0</v>
      </c>
      <c r="AD5" s="74">
        <v>3577.4005033792614</v>
      </c>
      <c r="AE5" s="75">
        <v>9718.4802311596013</v>
      </c>
      <c r="AF5" s="75">
        <v>274.72572860361976</v>
      </c>
      <c r="AG5" s="75">
        <v>240.00000000000017</v>
      </c>
      <c r="AH5" s="75">
        <v>6.6871190794264308</v>
      </c>
      <c r="AI5" s="75">
        <v>760.00000000000284</v>
      </c>
      <c r="AJ5" s="76">
        <v>0</v>
      </c>
      <c r="AK5" s="75">
        <v>1087.5365933398939</v>
      </c>
      <c r="AL5" s="75">
        <v>490588.23366362829</v>
      </c>
      <c r="AM5" s="75">
        <v>191.11899250100001</v>
      </c>
      <c r="AN5" s="74">
        <v>641.79754691929065</v>
      </c>
      <c r="AO5" s="75">
        <v>406030.96178908704</v>
      </c>
      <c r="AP5" s="76">
        <v>51.373575348400003</v>
      </c>
      <c r="AQ5" s="75">
        <v>446.49999999999949</v>
      </c>
      <c r="AR5" s="75">
        <v>263836.00000059622</v>
      </c>
      <c r="AS5" s="75">
        <v>16564.171558499998</v>
      </c>
      <c r="AT5" s="77">
        <v>10791.324214864257</v>
      </c>
      <c r="AU5" s="75">
        <v>98995.999999910768</v>
      </c>
      <c r="AV5" s="77">
        <v>52366.269243301947</v>
      </c>
      <c r="AW5" s="78"/>
    </row>
    <row r="6" spans="1:49" ht="14.45" customHeight="1" x14ac:dyDescent="0.25">
      <c r="A6" s="23">
        <f t="shared" ref="A6:A35" si="0">EOMONTH(A5,1)</f>
        <v>44255</v>
      </c>
      <c r="B6" s="75">
        <v>6475.0776850393631</v>
      </c>
      <c r="C6" s="75">
        <v>24.000000000000025</v>
      </c>
      <c r="D6" s="75">
        <v>45.820000000000007</v>
      </c>
      <c r="E6" s="75">
        <v>0</v>
      </c>
      <c r="F6" s="74">
        <v>6025.173338221779</v>
      </c>
      <c r="G6" s="75">
        <v>56.820000000043663</v>
      </c>
      <c r="H6" s="75">
        <v>35</v>
      </c>
      <c r="I6" s="75">
        <v>52.199999999999989</v>
      </c>
      <c r="J6" s="76">
        <v>0</v>
      </c>
      <c r="K6" s="75">
        <v>9304.7334096128507</v>
      </c>
      <c r="L6" s="75">
        <v>2.7999999999999985</v>
      </c>
      <c r="M6" s="75">
        <v>4.7</v>
      </c>
      <c r="N6" s="74">
        <v>7464.5347807086537</v>
      </c>
      <c r="O6" s="75">
        <v>18.899999999999981</v>
      </c>
      <c r="P6" s="75">
        <v>17.000000000000014</v>
      </c>
      <c r="Q6" s="75">
        <v>18.240000000000016</v>
      </c>
      <c r="R6" s="76">
        <v>0</v>
      </c>
      <c r="S6" s="75">
        <v>6749.6333542978937</v>
      </c>
      <c r="T6" s="75">
        <v>22.210452213504713</v>
      </c>
      <c r="U6" s="75">
        <v>0</v>
      </c>
      <c r="V6" s="74">
        <v>7626.9496696522219</v>
      </c>
      <c r="W6" s="75">
        <v>2</v>
      </c>
      <c r="X6" s="76">
        <v>0.32999999999999985</v>
      </c>
      <c r="Y6" s="75">
        <v>6036.1388331692851</v>
      </c>
      <c r="Z6" s="75">
        <v>13.33000000000111</v>
      </c>
      <c r="AA6" s="75">
        <v>15</v>
      </c>
      <c r="AB6" s="79">
        <v>16.66</v>
      </c>
      <c r="AC6" s="75">
        <v>0</v>
      </c>
      <c r="AD6" s="74">
        <v>3573.0492248687624</v>
      </c>
      <c r="AE6" s="75">
        <v>9355.7826105853837</v>
      </c>
      <c r="AF6" s="75">
        <v>295.21445221357266</v>
      </c>
      <c r="AG6" s="75">
        <v>275</v>
      </c>
      <c r="AH6" s="75">
        <v>6.9278830631268056</v>
      </c>
      <c r="AI6" s="75">
        <v>679.99999999999829</v>
      </c>
      <c r="AJ6" s="76">
        <v>0</v>
      </c>
      <c r="AK6" s="75">
        <v>1089.4898576706025</v>
      </c>
      <c r="AL6" s="75">
        <v>566073.18836372148</v>
      </c>
      <c r="AM6" s="75">
        <v>223.70036040599999</v>
      </c>
      <c r="AN6" s="74">
        <v>641.79754691929065</v>
      </c>
      <c r="AO6" s="75">
        <v>546009.2743204867</v>
      </c>
      <c r="AP6" s="76">
        <v>68.875557964799995</v>
      </c>
      <c r="AQ6" s="75">
        <v>446.49999999999949</v>
      </c>
      <c r="AR6" s="75">
        <v>400573.47991841601</v>
      </c>
      <c r="AS6" s="75">
        <v>26034.622245099999</v>
      </c>
      <c r="AT6" s="77">
        <v>8541.4771637278754</v>
      </c>
      <c r="AU6" s="75">
        <v>104.90909090934298</v>
      </c>
      <c r="AV6" s="77">
        <v>140864.55017910223</v>
      </c>
      <c r="AW6" s="78"/>
    </row>
    <row r="7" spans="1:49" ht="14.45" customHeight="1" x14ac:dyDescent="0.25">
      <c r="A7" s="23">
        <f t="shared" si="0"/>
        <v>44286</v>
      </c>
      <c r="B7" s="75">
        <v>6472.2654737204657</v>
      </c>
      <c r="C7" s="75">
        <v>42.000000000000007</v>
      </c>
      <c r="D7" s="75">
        <v>54.54999999999999</v>
      </c>
      <c r="E7" s="75">
        <v>0</v>
      </c>
      <c r="F7" s="74">
        <v>6026.0766428805709</v>
      </c>
      <c r="G7" s="75">
        <v>93.549999999906063</v>
      </c>
      <c r="H7" s="75">
        <v>80.999999999999943</v>
      </c>
      <c r="I7" s="75">
        <v>55.65000000000002</v>
      </c>
      <c r="J7" s="76">
        <v>0</v>
      </c>
      <c r="K7" s="75">
        <v>9303.2168296259752</v>
      </c>
      <c r="L7" s="75">
        <v>2.9999999999999991</v>
      </c>
      <c r="M7" s="75">
        <v>5.200000000000002</v>
      </c>
      <c r="N7" s="74">
        <v>7465.713425787394</v>
      </c>
      <c r="O7" s="75">
        <v>27.200000000016786</v>
      </c>
      <c r="P7" s="75">
        <v>25.000000000000011</v>
      </c>
      <c r="Q7" s="75">
        <v>19.22000000000002</v>
      </c>
      <c r="R7" s="76">
        <v>19.220000000008671</v>
      </c>
      <c r="S7" s="75">
        <v>6749.6333542978937</v>
      </c>
      <c r="T7" s="75">
        <v>28.160904427042219</v>
      </c>
      <c r="U7" s="75">
        <v>28.160904427042219</v>
      </c>
      <c r="V7" s="74">
        <v>7628.8329075787315</v>
      </c>
      <c r="W7" s="75">
        <v>3.700000000000002</v>
      </c>
      <c r="X7" s="76">
        <v>0.37000000000000022</v>
      </c>
      <c r="Y7" s="75">
        <v>6037.0588848753214</v>
      </c>
      <c r="Z7" s="75">
        <v>35.317000000055607</v>
      </c>
      <c r="AA7" s="75">
        <v>40.000000000000014</v>
      </c>
      <c r="AB7" s="79">
        <v>18.640000000000004</v>
      </c>
      <c r="AC7" s="75">
        <v>0</v>
      </c>
      <c r="AD7" s="74">
        <v>3569.1566832020958</v>
      </c>
      <c r="AE7" s="75">
        <v>9039.0925727517679</v>
      </c>
      <c r="AF7" s="75">
        <v>379.44390442808742</v>
      </c>
      <c r="AG7" s="75">
        <v>425.00000000000028</v>
      </c>
      <c r="AH7" s="75">
        <v>11.469145899649273</v>
      </c>
      <c r="AI7" s="75">
        <v>710.00000000000011</v>
      </c>
      <c r="AJ7" s="76">
        <v>0</v>
      </c>
      <c r="AK7" s="75">
        <v>1087.1227163320198</v>
      </c>
      <c r="AL7" s="75">
        <v>970614.59742803825</v>
      </c>
      <c r="AM7" s="75">
        <v>391.67158042200003</v>
      </c>
      <c r="AN7" s="74">
        <v>643.05459791010435</v>
      </c>
      <c r="AO7" s="75">
        <v>911687.02320327482</v>
      </c>
      <c r="AP7" s="76">
        <v>113.95452262600001</v>
      </c>
      <c r="AQ7" s="75">
        <v>446.69999999999948</v>
      </c>
      <c r="AR7" s="75">
        <v>648001.26349358086</v>
      </c>
      <c r="AS7" s="75">
        <v>41977.314135599998</v>
      </c>
      <c r="AT7" s="77">
        <v>14905.764747743018</v>
      </c>
      <c r="AU7" s="75">
        <v>97039.909090957823</v>
      </c>
      <c r="AV7" s="77">
        <v>150465.03287376036</v>
      </c>
      <c r="AW7" s="78"/>
    </row>
    <row r="8" spans="1:49" ht="14.45" customHeight="1" x14ac:dyDescent="0.25">
      <c r="A8" s="23">
        <f t="shared" si="0"/>
        <v>44316</v>
      </c>
      <c r="B8" s="75">
        <v>6473.3392012139038</v>
      </c>
      <c r="C8" s="75">
        <v>64.999999999999872</v>
      </c>
      <c r="D8" s="75">
        <v>59.500000000000021</v>
      </c>
      <c r="E8" s="75">
        <v>0</v>
      </c>
      <c r="F8" s="74">
        <v>6026.9966053149546</v>
      </c>
      <c r="G8" s="75">
        <v>94.499999999957893</v>
      </c>
      <c r="H8" s="75">
        <v>100.00000000000016</v>
      </c>
      <c r="I8" s="75">
        <v>53.850000000000016</v>
      </c>
      <c r="J8" s="76">
        <v>0</v>
      </c>
      <c r="K8" s="75">
        <v>9300.3601404527453</v>
      </c>
      <c r="L8" s="75">
        <v>5.9999999999999742</v>
      </c>
      <c r="M8" s="75">
        <v>10.000000000000014</v>
      </c>
      <c r="N8" s="74">
        <v>7467.7846555446122</v>
      </c>
      <c r="O8" s="75">
        <v>53.9999999999159</v>
      </c>
      <c r="P8" s="75">
        <v>50.000000000000021</v>
      </c>
      <c r="Q8" s="75">
        <v>39.800000000000011</v>
      </c>
      <c r="R8" s="76">
        <v>39.800000000025179</v>
      </c>
      <c r="S8" s="75">
        <v>6749.6333542978937</v>
      </c>
      <c r="T8" s="75">
        <v>59.700803859577675</v>
      </c>
      <c r="U8" s="75">
        <v>0</v>
      </c>
      <c r="V8" s="74">
        <v>7633.9967000656097</v>
      </c>
      <c r="W8" s="75">
        <v>10.000000000000014</v>
      </c>
      <c r="X8" s="76">
        <v>0.36000000000000015</v>
      </c>
      <c r="Y8" s="75">
        <v>6039.3584416010435</v>
      </c>
      <c r="Z8" s="75">
        <v>67.608999999993557</v>
      </c>
      <c r="AA8" s="75">
        <v>84.999999999999787</v>
      </c>
      <c r="AB8" s="79">
        <v>19.340000000000011</v>
      </c>
      <c r="AC8" s="75">
        <v>0</v>
      </c>
      <c r="AD8" s="74">
        <v>3567.4135933726998</v>
      </c>
      <c r="AE8" s="75">
        <v>8899.6564146629207</v>
      </c>
      <c r="AF8" s="75">
        <v>507.30380386068748</v>
      </c>
      <c r="AG8" s="75">
        <v>599.99999999999727</v>
      </c>
      <c r="AH8" s="75">
        <v>17.894851182557133</v>
      </c>
      <c r="AI8" s="75">
        <v>640.00000000000193</v>
      </c>
      <c r="AJ8" s="76">
        <v>0</v>
      </c>
      <c r="AK8" s="75">
        <v>1082.9406944356945</v>
      </c>
      <c r="AL8" s="75">
        <v>1030622.7698103612</v>
      </c>
      <c r="AM8" s="75">
        <v>412.37423865299996</v>
      </c>
      <c r="AN8" s="74">
        <v>642.99981670275531</v>
      </c>
      <c r="AO8" s="75">
        <v>1002925.9511586736</v>
      </c>
      <c r="AP8" s="76">
        <v>125.280022215</v>
      </c>
      <c r="AQ8" s="75">
        <v>448.69999999999948</v>
      </c>
      <c r="AR8" s="75">
        <v>712415.93271930225</v>
      </c>
      <c r="AS8" s="75">
        <v>46897.953869899997</v>
      </c>
      <c r="AT8" s="77">
        <v>16606.456491611505</v>
      </c>
      <c r="AU8" s="75">
        <v>93393.909090859248</v>
      </c>
      <c r="AV8" s="77">
        <v>146101.17710344083</v>
      </c>
      <c r="AW8" s="78"/>
    </row>
    <row r="9" spans="1:49" ht="14.45" customHeight="1" x14ac:dyDescent="0.25">
      <c r="A9" s="23">
        <f t="shared" si="0"/>
        <v>44347</v>
      </c>
      <c r="B9" s="75">
        <v>6481.5856678477621</v>
      </c>
      <c r="C9" s="75">
        <v>104.99999999999986</v>
      </c>
      <c r="D9" s="75">
        <v>61.880000000000088</v>
      </c>
      <c r="E9" s="75">
        <v>0</v>
      </c>
      <c r="F9" s="74">
        <v>6027.4849847768965</v>
      </c>
      <c r="G9" s="75">
        <v>96.880000000001033</v>
      </c>
      <c r="H9" s="75">
        <v>140</v>
      </c>
      <c r="I9" s="75">
        <v>70.020000000000039</v>
      </c>
      <c r="J9" s="76">
        <v>0</v>
      </c>
      <c r="K9" s="75">
        <v>9304.5970503608823</v>
      </c>
      <c r="L9" s="75">
        <v>19.999999999999975</v>
      </c>
      <c r="M9" s="75">
        <v>14.000000000000002</v>
      </c>
      <c r="N9" s="74">
        <v>7481.1047366469738</v>
      </c>
      <c r="O9" s="75">
        <v>139.00000000010499</v>
      </c>
      <c r="P9" s="75">
        <v>145.00000000000028</v>
      </c>
      <c r="Q9" s="75">
        <v>44.980000000000004</v>
      </c>
      <c r="R9" s="76">
        <v>38.925139874074624</v>
      </c>
      <c r="S9" s="75">
        <v>6749.6333542978937</v>
      </c>
      <c r="T9" s="75">
        <v>79.839648014279646</v>
      </c>
      <c r="U9" s="75">
        <v>0</v>
      </c>
      <c r="V9" s="74">
        <v>7639.2626773950051</v>
      </c>
      <c r="W9" s="75">
        <v>40.000000000000014</v>
      </c>
      <c r="X9" s="76">
        <v>29.040000000000017</v>
      </c>
      <c r="Y9" s="75">
        <v>6045.8765405183658</v>
      </c>
      <c r="Z9" s="75">
        <v>130.07899999997278</v>
      </c>
      <c r="AA9" s="75">
        <v>159.99999999999991</v>
      </c>
      <c r="AB9" s="79">
        <v>18.449999999999996</v>
      </c>
      <c r="AC9" s="75">
        <v>0</v>
      </c>
      <c r="AD9" s="74">
        <v>3569.6414613188936</v>
      </c>
      <c r="AE9" s="75">
        <v>9078.1331816477596</v>
      </c>
      <c r="AF9" s="75">
        <v>843.80564801362982</v>
      </c>
      <c r="AG9" s="75">
        <v>1100.0000000000014</v>
      </c>
      <c r="AH9" s="75">
        <v>21.050744086533541</v>
      </c>
      <c r="AI9" s="75">
        <v>630.00000000000034</v>
      </c>
      <c r="AJ9" s="76">
        <v>0</v>
      </c>
      <c r="AK9" s="75">
        <v>1078.7197356660092</v>
      </c>
      <c r="AL9" s="75">
        <v>988231.18338212057</v>
      </c>
      <c r="AM9" s="75">
        <v>379.42313637299998</v>
      </c>
      <c r="AN9" s="74">
        <v>642.99981670275531</v>
      </c>
      <c r="AO9" s="75">
        <v>956228.87023035216</v>
      </c>
      <c r="AP9" s="76">
        <v>119.79871187800001</v>
      </c>
      <c r="AQ9" s="75">
        <v>448.69999999999948</v>
      </c>
      <c r="AR9" s="75">
        <v>692720.5032845384</v>
      </c>
      <c r="AS9" s="75">
        <v>46032.170326500003</v>
      </c>
      <c r="AT9" s="77">
        <v>20150.620359253659</v>
      </c>
      <c r="AU9" s="75">
        <v>97039.909090957823</v>
      </c>
      <c r="AV9" s="77">
        <v>156574.43095216007</v>
      </c>
      <c r="AW9" s="78"/>
    </row>
    <row r="10" spans="1:49" ht="14.45" customHeight="1" x14ac:dyDescent="0.25">
      <c r="A10" s="23">
        <f t="shared" si="0"/>
        <v>44377</v>
      </c>
      <c r="B10" s="75">
        <v>6499.6131718503866</v>
      </c>
      <c r="C10" s="75">
        <v>215.00000000000011</v>
      </c>
      <c r="D10" s="75">
        <v>92.429999999999907</v>
      </c>
      <c r="E10" s="75">
        <v>0</v>
      </c>
      <c r="F10" s="74">
        <v>6026.8889153543241</v>
      </c>
      <c r="G10" s="75">
        <v>112.42999999999823</v>
      </c>
      <c r="H10" s="75">
        <v>235.00000000000003</v>
      </c>
      <c r="I10" s="75">
        <v>125.4500000000002</v>
      </c>
      <c r="J10" s="76">
        <v>0</v>
      </c>
      <c r="K10" s="75">
        <v>9312.3192455708559</v>
      </c>
      <c r="L10" s="75">
        <v>31.999999999999975</v>
      </c>
      <c r="M10" s="75">
        <v>19.999999999999975</v>
      </c>
      <c r="N10" s="74">
        <v>7492.9990581036673</v>
      </c>
      <c r="O10" s="75">
        <v>183.00000000004189</v>
      </c>
      <c r="P10" s="75">
        <v>195.0000000000002</v>
      </c>
      <c r="Q10" s="75">
        <v>90.930000000000106</v>
      </c>
      <c r="R10" s="76">
        <v>0</v>
      </c>
      <c r="S10" s="75">
        <v>6749.6333542978937</v>
      </c>
      <c r="T10" s="75">
        <v>125.75376855909907</v>
      </c>
      <c r="U10" s="75">
        <v>0</v>
      </c>
      <c r="V10" s="74">
        <v>7643.4743612860811</v>
      </c>
      <c r="W10" s="75">
        <v>50.000000000000021</v>
      </c>
      <c r="X10" s="76">
        <v>40.410000000000018</v>
      </c>
      <c r="Y10" s="75">
        <v>6050.7312297244034</v>
      </c>
      <c r="Z10" s="75">
        <v>131.27699999991347</v>
      </c>
      <c r="AA10" s="75">
        <v>159.99999999999991</v>
      </c>
      <c r="AB10" s="79">
        <v>17.850000000000001</v>
      </c>
      <c r="AC10" s="75">
        <v>0</v>
      </c>
      <c r="AD10" s="74">
        <v>3577.1883734251928</v>
      </c>
      <c r="AE10" s="75">
        <v>9700.5858921202162</v>
      </c>
      <c r="AF10" s="75">
        <v>1366.5387685585315</v>
      </c>
      <c r="AG10" s="75">
        <v>1650.0000000000002</v>
      </c>
      <c r="AH10" s="75">
        <v>34.289839917704114</v>
      </c>
      <c r="AI10" s="75">
        <v>660.00000000000125</v>
      </c>
      <c r="AJ10" s="76">
        <v>0</v>
      </c>
      <c r="AK10" s="75">
        <v>1074.7547786679779</v>
      </c>
      <c r="AL10" s="75">
        <v>953079.63158855087</v>
      </c>
      <c r="AM10" s="75">
        <v>358.46245012100002</v>
      </c>
      <c r="AN10" s="74">
        <v>642.99981670275531</v>
      </c>
      <c r="AO10" s="75">
        <v>912867.71660188597</v>
      </c>
      <c r="AP10" s="76">
        <v>114.427285442</v>
      </c>
      <c r="AQ10" s="75">
        <v>448.69999999999948</v>
      </c>
      <c r="AR10" s="75">
        <v>710044.92434897483</v>
      </c>
      <c r="AS10" s="75">
        <v>47264.649051699998</v>
      </c>
      <c r="AT10" s="77">
        <v>28221.513667362193</v>
      </c>
      <c r="AU10" s="75">
        <v>95907.90909098566</v>
      </c>
      <c r="AV10" s="77">
        <v>89371.052089889403</v>
      </c>
      <c r="AW10" s="78"/>
    </row>
    <row r="11" spans="1:49" ht="14.45" customHeight="1" x14ac:dyDescent="0.25">
      <c r="A11" s="23">
        <f t="shared" si="0"/>
        <v>44408</v>
      </c>
      <c r="B11" s="75">
        <v>6503.8909451443496</v>
      </c>
      <c r="C11" s="75">
        <v>134.99999999999972</v>
      </c>
      <c r="D11" s="75">
        <v>99.469999999999828</v>
      </c>
      <c r="E11" s="75">
        <v>0</v>
      </c>
      <c r="F11" s="74">
        <v>6028.0509631561617</v>
      </c>
      <c r="G11" s="75">
        <v>124.47000000010524</v>
      </c>
      <c r="H11" s="75">
        <v>159.99999999999991</v>
      </c>
      <c r="I11" s="75">
        <v>65.450000000000216</v>
      </c>
      <c r="J11" s="76">
        <v>0</v>
      </c>
      <c r="K11" s="75">
        <v>9306.281253412064</v>
      </c>
      <c r="L11" s="75">
        <v>14.000000000000002</v>
      </c>
      <c r="M11" s="75">
        <v>23.499999999999993</v>
      </c>
      <c r="N11" s="74">
        <v>7493.8606311679705</v>
      </c>
      <c r="O11" s="75">
        <v>84.500000000048956</v>
      </c>
      <c r="P11" s="75">
        <v>74.999999999999972</v>
      </c>
      <c r="Q11" s="75">
        <v>76.269999999999797</v>
      </c>
      <c r="R11" s="76">
        <v>0</v>
      </c>
      <c r="S11" s="75">
        <v>6749.6333542978937</v>
      </c>
      <c r="T11" s="75">
        <v>86.084271056434019</v>
      </c>
      <c r="U11" s="75">
        <v>0</v>
      </c>
      <c r="V11" s="74">
        <v>7633.9645290026174</v>
      </c>
      <c r="W11" s="75">
        <v>19.999999999999975</v>
      </c>
      <c r="X11" s="76">
        <v>39.299999999999983</v>
      </c>
      <c r="Y11" s="75">
        <v>6048.2182423884451</v>
      </c>
      <c r="Z11" s="75">
        <v>58.13199999995809</v>
      </c>
      <c r="AA11" s="75">
        <v>40.000000000000014</v>
      </c>
      <c r="AB11" s="79">
        <v>26.279999999999998</v>
      </c>
      <c r="AC11" s="75">
        <v>0</v>
      </c>
      <c r="AD11" s="74">
        <v>3575.6318092847728</v>
      </c>
      <c r="AE11" s="75">
        <v>9569.9462127225925</v>
      </c>
      <c r="AF11" s="75">
        <v>651.18827105663615</v>
      </c>
      <c r="AG11" s="75">
        <v>700.00000000000307</v>
      </c>
      <c r="AH11" s="75">
        <v>42.279121455966198</v>
      </c>
      <c r="AI11" s="75">
        <v>749.99999999999989</v>
      </c>
      <c r="AJ11" s="76">
        <v>0</v>
      </c>
      <c r="AK11" s="75">
        <v>1073.1888884612849</v>
      </c>
      <c r="AL11" s="75">
        <v>860494.49649165664</v>
      </c>
      <c r="AM11" s="75">
        <v>329.51370675800001</v>
      </c>
      <c r="AN11" s="74">
        <v>641.99704448162663</v>
      </c>
      <c r="AO11" s="75">
        <v>850605.50235668814</v>
      </c>
      <c r="AP11" s="76">
        <v>106.646983197</v>
      </c>
      <c r="AQ11" s="75">
        <v>447.99999999999949</v>
      </c>
      <c r="AR11" s="75">
        <v>703003.83763712237</v>
      </c>
      <c r="AS11" s="75">
        <v>46555.823073300002</v>
      </c>
      <c r="AT11" s="77">
        <v>32574.203118260441</v>
      </c>
      <c r="AU11" s="75">
        <v>98866.909090889618</v>
      </c>
      <c r="AV11" s="77">
        <v>50969.121311312942</v>
      </c>
      <c r="AW11" s="78"/>
    </row>
    <row r="12" spans="1:49" ht="14.45" customHeight="1" x14ac:dyDescent="0.25">
      <c r="A12" s="23">
        <f t="shared" si="0"/>
        <v>44439</v>
      </c>
      <c r="B12" s="75">
        <v>6502.4932733595733</v>
      </c>
      <c r="C12" s="75">
        <v>58</v>
      </c>
      <c r="D12" s="75">
        <v>66.639999999999873</v>
      </c>
      <c r="E12" s="75">
        <v>0</v>
      </c>
      <c r="F12" s="74">
        <v>6027.3107451771593</v>
      </c>
      <c r="G12" s="75">
        <v>75.640000000017295</v>
      </c>
      <c r="H12" s="75">
        <v>67.000000000000014</v>
      </c>
      <c r="I12" s="75">
        <v>92.230000000000246</v>
      </c>
      <c r="J12" s="76">
        <v>0</v>
      </c>
      <c r="K12" s="75">
        <v>9297.739363156159</v>
      </c>
      <c r="L12" s="75">
        <v>7.0000000000000311</v>
      </c>
      <c r="M12" s="75">
        <v>18.999999999999979</v>
      </c>
      <c r="N12" s="74">
        <v>7490.6527437663963</v>
      </c>
      <c r="O12" s="75">
        <v>57.999999999971926</v>
      </c>
      <c r="P12" s="75">
        <v>45.999999999999986</v>
      </c>
      <c r="Q12" s="75">
        <v>82.219999999999814</v>
      </c>
      <c r="R12" s="76">
        <v>0</v>
      </c>
      <c r="S12" s="75">
        <v>6749.6333542978937</v>
      </c>
      <c r="T12" s="75">
        <v>86.078592736162349</v>
      </c>
      <c r="U12" s="75">
        <v>0</v>
      </c>
      <c r="V12" s="74">
        <v>7620.4763591863439</v>
      </c>
      <c r="W12" s="75">
        <v>14.000000000000002</v>
      </c>
      <c r="X12" s="76">
        <v>36.000000000000021</v>
      </c>
      <c r="Y12" s="75">
        <v>6045.8340862532741</v>
      </c>
      <c r="Z12" s="75">
        <v>53.273000000041534</v>
      </c>
      <c r="AA12" s="75">
        <v>31.999999999999986</v>
      </c>
      <c r="AB12" s="79">
        <v>29.26</v>
      </c>
      <c r="AC12" s="75">
        <v>0</v>
      </c>
      <c r="AD12" s="74">
        <v>3571.4924047244058</v>
      </c>
      <c r="AE12" s="75">
        <v>9228.2416248885093</v>
      </c>
      <c r="AF12" s="75">
        <v>472.40959273642108</v>
      </c>
      <c r="AG12" s="75">
        <v>364.99999999999994</v>
      </c>
      <c r="AH12" s="75">
        <v>41.450548251895306</v>
      </c>
      <c r="AI12" s="75">
        <v>800.00000000000273</v>
      </c>
      <c r="AJ12" s="76">
        <v>0</v>
      </c>
      <c r="AK12" s="75">
        <v>1073.0085395341196</v>
      </c>
      <c r="AL12" s="75">
        <v>803849.25732634659</v>
      </c>
      <c r="AM12" s="75">
        <v>305.25183974800001</v>
      </c>
      <c r="AN12" s="74">
        <v>641.99704448162663</v>
      </c>
      <c r="AO12" s="75">
        <v>768979.93312604062</v>
      </c>
      <c r="AP12" s="76">
        <v>96.405763019800006</v>
      </c>
      <c r="AQ12" s="75">
        <v>447.50000000328043</v>
      </c>
      <c r="AR12" s="75">
        <v>618013.01914126531</v>
      </c>
      <c r="AS12" s="75">
        <v>40493.056808699999</v>
      </c>
      <c r="AT12" s="77">
        <v>33698.704216553233</v>
      </c>
      <c r="AU12" s="75">
        <v>98866.909090889618</v>
      </c>
      <c r="AV12" s="77">
        <v>50969.121311312942</v>
      </c>
      <c r="AW12" s="78"/>
    </row>
    <row r="13" spans="1:49" ht="14.45" customHeight="1" x14ac:dyDescent="0.25">
      <c r="A13" s="23">
        <f t="shared" si="0"/>
        <v>44469</v>
      </c>
      <c r="B13" s="75">
        <v>6499.4295868766339</v>
      </c>
      <c r="C13" s="75">
        <v>38.000000000000014</v>
      </c>
      <c r="D13" s="75">
        <v>59.500000000000021</v>
      </c>
      <c r="E13" s="75">
        <v>39.806692625968999</v>
      </c>
      <c r="F13" s="74">
        <v>6026.4464500656104</v>
      </c>
      <c r="G13" s="75">
        <v>66.499999999915886</v>
      </c>
      <c r="H13" s="75">
        <v>45.000000000000014</v>
      </c>
      <c r="I13" s="75">
        <v>89.259999999999991</v>
      </c>
      <c r="J13" s="76">
        <v>0</v>
      </c>
      <c r="K13" s="75">
        <v>9287.0526814304358</v>
      </c>
      <c r="L13" s="75">
        <v>5.0000000000000018</v>
      </c>
      <c r="M13" s="75">
        <v>17.499999999999968</v>
      </c>
      <c r="N13" s="74">
        <v>7486.2587687335881</v>
      </c>
      <c r="O13" s="75">
        <v>37.499999999999972</v>
      </c>
      <c r="P13" s="75">
        <v>24.999999999999982</v>
      </c>
      <c r="Q13" s="75">
        <v>70.45</v>
      </c>
      <c r="R13" s="76">
        <v>0</v>
      </c>
      <c r="S13" s="75">
        <v>6749.6333542978937</v>
      </c>
      <c r="T13" s="75">
        <v>80.326532463539408</v>
      </c>
      <c r="U13" s="75">
        <v>28.420344874565075</v>
      </c>
      <c r="V13" s="74">
        <v>7605.393224540675</v>
      </c>
      <c r="W13" s="75">
        <v>12.000000000000007</v>
      </c>
      <c r="X13" s="76">
        <v>28.390000000000015</v>
      </c>
      <c r="Y13" s="75">
        <v>6045.4641638451385</v>
      </c>
      <c r="Z13" s="75">
        <v>47.255000000099152</v>
      </c>
      <c r="AA13" s="75">
        <v>31.999999999999975</v>
      </c>
      <c r="AB13" s="79">
        <v>22.909999999999989</v>
      </c>
      <c r="AC13" s="75">
        <v>0</v>
      </c>
      <c r="AD13" s="74">
        <v>3569.0398524934349</v>
      </c>
      <c r="AE13" s="75">
        <v>9029.7008529490413</v>
      </c>
      <c r="AF13" s="75">
        <v>422.6995324637432</v>
      </c>
      <c r="AG13" s="75">
        <v>315.00000000000023</v>
      </c>
      <c r="AH13" s="75">
        <v>37.478561040927353</v>
      </c>
      <c r="AI13" s="75">
        <v>599.64499999999873</v>
      </c>
      <c r="AJ13" s="76">
        <v>0</v>
      </c>
      <c r="AK13" s="75">
        <v>1071.6193895275578</v>
      </c>
      <c r="AL13" s="75">
        <v>706696.7225471912</v>
      </c>
      <c r="AM13" s="75">
        <v>265.55853124399999</v>
      </c>
      <c r="AN13" s="74">
        <v>639.00563909776838</v>
      </c>
      <c r="AO13" s="75">
        <v>754472.05962624867</v>
      </c>
      <c r="AP13" s="76">
        <v>93.523212777099999</v>
      </c>
      <c r="AQ13" s="75">
        <v>447.49999999999949</v>
      </c>
      <c r="AR13" s="75">
        <v>529932.88653635734</v>
      </c>
      <c r="AS13" s="75">
        <v>34482.366233499997</v>
      </c>
      <c r="AT13" s="77">
        <v>30006.690843142675</v>
      </c>
      <c r="AU13" s="75">
        <v>95907.90909098566</v>
      </c>
      <c r="AV13" s="77">
        <v>120790.813635921</v>
      </c>
      <c r="AW13" s="78"/>
    </row>
    <row r="14" spans="1:49" ht="14.45" customHeight="1" x14ac:dyDescent="0.25">
      <c r="A14" s="23">
        <f t="shared" si="0"/>
        <v>44500</v>
      </c>
      <c r="B14" s="75">
        <v>6496.4401543307022</v>
      </c>
      <c r="C14" s="75">
        <v>40.689999999999984</v>
      </c>
      <c r="D14" s="75">
        <v>61.489999999999711</v>
      </c>
      <c r="E14" s="75">
        <v>0</v>
      </c>
      <c r="F14" s="74">
        <v>6026.4972900262401</v>
      </c>
      <c r="G14" s="75">
        <v>71.040000000071942</v>
      </c>
      <c r="H14" s="75">
        <v>50.239999999999995</v>
      </c>
      <c r="I14" s="75">
        <v>61.880000000000088</v>
      </c>
      <c r="J14" s="76">
        <v>0</v>
      </c>
      <c r="K14" s="75">
        <v>9280.6700343503853</v>
      </c>
      <c r="L14" s="75">
        <v>5.2899999999999991</v>
      </c>
      <c r="M14" s="75">
        <v>11.49999999999998</v>
      </c>
      <c r="N14" s="74">
        <v>7481.9054764107541</v>
      </c>
      <c r="O14" s="75">
        <v>35.689999999965508</v>
      </c>
      <c r="P14" s="75">
        <v>29.479999999999986</v>
      </c>
      <c r="Q14" s="75">
        <v>67.809999999999746</v>
      </c>
      <c r="R14" s="76">
        <v>0</v>
      </c>
      <c r="S14" s="75">
        <v>6749.6333542978937</v>
      </c>
      <c r="T14" s="75">
        <v>77.551406924208436</v>
      </c>
      <c r="U14" s="75">
        <v>0</v>
      </c>
      <c r="V14" s="74">
        <v>7599.7494443241385</v>
      </c>
      <c r="W14" s="75">
        <v>10.959999999999987</v>
      </c>
      <c r="X14" s="76">
        <v>15.190000000000005</v>
      </c>
      <c r="Y14" s="75">
        <v>6046.4297346784715</v>
      </c>
      <c r="Z14" s="75">
        <v>40.501000000045025</v>
      </c>
      <c r="AA14" s="75">
        <v>36.96</v>
      </c>
      <c r="AB14" s="79">
        <v>18.739999999999974</v>
      </c>
      <c r="AC14" s="75">
        <v>0</v>
      </c>
      <c r="AD14" s="74">
        <v>3568.4836492125946</v>
      </c>
      <c r="AE14" s="75">
        <v>8985.0795773659065</v>
      </c>
      <c r="AF14" s="75">
        <v>457.51440692343073</v>
      </c>
      <c r="AG14" s="75">
        <v>415.91999999999985</v>
      </c>
      <c r="AH14" s="75">
        <v>25.705383440944633</v>
      </c>
      <c r="AI14" s="75">
        <v>479.99999999999972</v>
      </c>
      <c r="AJ14" s="76">
        <v>0</v>
      </c>
      <c r="AK14" s="75">
        <v>1070.5690983202087</v>
      </c>
      <c r="AL14" s="75">
        <v>578318.28872256295</v>
      </c>
      <c r="AM14" s="75">
        <v>216.14982763000003</v>
      </c>
      <c r="AN14" s="74">
        <v>632.99732935367388</v>
      </c>
      <c r="AO14" s="75">
        <v>709739.31178733788</v>
      </c>
      <c r="AP14" s="76">
        <v>85.378787514999999</v>
      </c>
      <c r="AQ14" s="75">
        <v>447.49999999999949</v>
      </c>
      <c r="AR14" s="75">
        <v>471654.67232900579</v>
      </c>
      <c r="AS14" s="75">
        <v>31049.4309727</v>
      </c>
      <c r="AT14" s="77">
        <v>25067.672495164308</v>
      </c>
      <c r="AU14" s="75">
        <v>98866.909090889618</v>
      </c>
      <c r="AV14" s="77">
        <v>145228.40594938671</v>
      </c>
      <c r="AW14" s="78"/>
    </row>
    <row r="15" spans="1:49" ht="14.45" customHeight="1" x14ac:dyDescent="0.25">
      <c r="A15" s="23">
        <f t="shared" si="0"/>
        <v>44530</v>
      </c>
      <c r="B15" s="75">
        <v>6492.4891561679724</v>
      </c>
      <c r="C15" s="75">
        <v>41.260000000000005</v>
      </c>
      <c r="D15" s="75">
        <v>68.430000000000135</v>
      </c>
      <c r="E15" s="75">
        <v>0</v>
      </c>
      <c r="F15" s="74">
        <v>6026.7643761154795</v>
      </c>
      <c r="G15" s="75">
        <v>75.380000000099116</v>
      </c>
      <c r="H15" s="75">
        <v>48.209999999999994</v>
      </c>
      <c r="I15" s="75">
        <v>61.55000000000026</v>
      </c>
      <c r="J15" s="76">
        <v>0</v>
      </c>
      <c r="K15" s="75">
        <v>9280.1236082020896</v>
      </c>
      <c r="L15" s="75">
        <v>4.5599999999999987</v>
      </c>
      <c r="M15" s="75">
        <v>5.0499999999999972</v>
      </c>
      <c r="N15" s="74">
        <v>7483.8388888779446</v>
      </c>
      <c r="O15" s="75">
        <v>28.220000000077306</v>
      </c>
      <c r="P15" s="75">
        <v>27.73</v>
      </c>
      <c r="Q15" s="75">
        <v>13.629999999999971</v>
      </c>
      <c r="R15" s="76">
        <v>0</v>
      </c>
      <c r="S15" s="75">
        <v>6749.6333542978937</v>
      </c>
      <c r="T15" s="75">
        <v>20.828341657343532</v>
      </c>
      <c r="U15" s="75">
        <v>0</v>
      </c>
      <c r="V15" s="74">
        <v>7606.8941484908055</v>
      </c>
      <c r="W15" s="75">
        <v>8.1100000000000172</v>
      </c>
      <c r="X15" s="76">
        <v>2.4799999999999986</v>
      </c>
      <c r="Y15" s="75">
        <v>6046.5779041666601</v>
      </c>
      <c r="Z15" s="75">
        <v>20.407999999994768</v>
      </c>
      <c r="AA15" s="75">
        <v>26.039999999999992</v>
      </c>
      <c r="AB15" s="79">
        <v>17.850000000000001</v>
      </c>
      <c r="AC15" s="75">
        <v>0</v>
      </c>
      <c r="AD15" s="74">
        <v>3567.3125398950096</v>
      </c>
      <c r="AE15" s="75">
        <v>8891.6179018951007</v>
      </c>
      <c r="AF15" s="75">
        <v>423.96234165821096</v>
      </c>
      <c r="AG15" s="75">
        <v>432.88999999999993</v>
      </c>
      <c r="AH15" s="75">
        <v>24.90094879545941</v>
      </c>
      <c r="AI15" s="75">
        <v>500.00000000000017</v>
      </c>
      <c r="AJ15" s="76">
        <v>0</v>
      </c>
      <c r="AK15" s="75">
        <v>1068.8753020866131</v>
      </c>
      <c r="AL15" s="75">
        <v>655868.95379929128</v>
      </c>
      <c r="AM15" s="75">
        <v>255.23911940100001</v>
      </c>
      <c r="AN15" s="74">
        <v>634.99500232611479</v>
      </c>
      <c r="AO15" s="75">
        <v>575705.20011819631</v>
      </c>
      <c r="AP15" s="76">
        <v>68.6076111191</v>
      </c>
      <c r="AQ15" s="75">
        <v>447.49999999999949</v>
      </c>
      <c r="AR15" s="75">
        <v>339580.46126048354</v>
      </c>
      <c r="AS15" s="75">
        <v>22005.2685117</v>
      </c>
      <c r="AT15" s="77">
        <v>15024.044352377781</v>
      </c>
      <c r="AU15" s="75">
        <v>95907.90909098566</v>
      </c>
      <c r="AV15" s="77">
        <v>142610.09248723843</v>
      </c>
      <c r="AW15" s="78"/>
    </row>
    <row r="16" spans="1:49" ht="14.45" customHeight="1" x14ac:dyDescent="0.25">
      <c r="A16" s="23">
        <f t="shared" si="0"/>
        <v>44561</v>
      </c>
      <c r="B16" s="75">
        <v>6486.6790165354259</v>
      </c>
      <c r="C16" s="75">
        <v>32.799999999999976</v>
      </c>
      <c r="D16" s="75">
        <v>70.71000000000015</v>
      </c>
      <c r="E16" s="75">
        <v>0</v>
      </c>
      <c r="F16" s="74">
        <v>6026.0799562335887</v>
      </c>
      <c r="G16" s="75">
        <v>71.010000000065219</v>
      </c>
      <c r="H16" s="75">
        <v>33.100000000000009</v>
      </c>
      <c r="I16" s="75">
        <v>95.92000000000003</v>
      </c>
      <c r="J16" s="76">
        <v>0</v>
      </c>
      <c r="K16" s="75">
        <v>9279.5590054461845</v>
      </c>
      <c r="L16" s="75">
        <v>4.6999999999999975</v>
      </c>
      <c r="M16" s="75">
        <v>5.200000000000002</v>
      </c>
      <c r="N16" s="74">
        <v>7485.3938554133783</v>
      </c>
      <c r="O16" s="75">
        <v>26.999999999971958</v>
      </c>
      <c r="P16" s="75">
        <v>26.499999999999975</v>
      </c>
      <c r="Q16" s="75">
        <v>15.13999999999999</v>
      </c>
      <c r="R16" s="76">
        <v>0</v>
      </c>
      <c r="S16" s="75">
        <v>6749.6333542978937</v>
      </c>
      <c r="T16" s="75">
        <v>21.515728603950397</v>
      </c>
      <c r="U16" s="75">
        <v>0</v>
      </c>
      <c r="V16" s="74">
        <v>7612.0205118766326</v>
      </c>
      <c r="W16" s="75">
        <v>6.9000000000000021</v>
      </c>
      <c r="X16" s="76">
        <v>1.8399999999999976</v>
      </c>
      <c r="Y16" s="75">
        <v>6046.6624214566864</v>
      </c>
      <c r="Z16" s="75">
        <v>19.993000000008223</v>
      </c>
      <c r="AA16" s="75">
        <v>25.099999999999987</v>
      </c>
      <c r="AB16" s="79">
        <v>18.449999999999996</v>
      </c>
      <c r="AC16" s="75">
        <v>0</v>
      </c>
      <c r="AD16" s="74">
        <v>3564.8388516732248</v>
      </c>
      <c r="AE16" s="75">
        <v>8696.386183381268</v>
      </c>
      <c r="AF16" s="75">
        <v>408.83272860432157</v>
      </c>
      <c r="AG16" s="75">
        <v>364.00000000000028</v>
      </c>
      <c r="AH16" s="75">
        <v>19.682979858116191</v>
      </c>
      <c r="AI16" s="75">
        <v>599.99999999999989</v>
      </c>
      <c r="AJ16" s="76">
        <v>0</v>
      </c>
      <c r="AK16" s="75">
        <v>1069.659721981626</v>
      </c>
      <c r="AL16" s="75">
        <v>552708.44168557145</v>
      </c>
      <c r="AM16" s="75">
        <v>207.863899202</v>
      </c>
      <c r="AN16" s="74">
        <v>639.50562092519613</v>
      </c>
      <c r="AO16" s="75">
        <v>412989.25433251634</v>
      </c>
      <c r="AP16" s="76">
        <v>50.911633228100001</v>
      </c>
      <c r="AQ16" s="75">
        <v>446.49999999999949</v>
      </c>
      <c r="AR16" s="75">
        <v>238707.44934620603</v>
      </c>
      <c r="AS16" s="75">
        <v>14800.169638199999</v>
      </c>
      <c r="AT16" s="77">
        <v>10158.528330047446</v>
      </c>
      <c r="AU16" s="75">
        <v>99100.909090855217</v>
      </c>
      <c r="AV16" s="77">
        <v>105080.9328628842</v>
      </c>
      <c r="AW16" s="78"/>
    </row>
    <row r="17" spans="1:49" ht="14.45" customHeight="1" x14ac:dyDescent="0.25">
      <c r="A17" s="23">
        <f t="shared" si="0"/>
        <v>44592</v>
      </c>
      <c r="B17" s="75">
        <v>6479.8329009514364</v>
      </c>
      <c r="C17" s="75">
        <v>31.100000000000019</v>
      </c>
      <c r="D17" s="75">
        <v>70.71000000000015</v>
      </c>
      <c r="E17" s="75">
        <v>0</v>
      </c>
      <c r="F17" s="74">
        <v>6025.6168889763712</v>
      </c>
      <c r="G17" s="75">
        <v>79.710000000061015</v>
      </c>
      <c r="H17" s="75">
        <v>40.099999999999973</v>
      </c>
      <c r="I17" s="75">
        <v>95.92000000000003</v>
      </c>
      <c r="J17" s="76">
        <v>0</v>
      </c>
      <c r="K17" s="75">
        <v>9278.5279445209871</v>
      </c>
      <c r="L17" s="75">
        <v>4.2999999999999989</v>
      </c>
      <c r="M17" s="75">
        <v>5.200000000000002</v>
      </c>
      <c r="N17" s="74">
        <v>7486.7362488188892</v>
      </c>
      <c r="O17" s="75">
        <v>25.799999999920129</v>
      </c>
      <c r="P17" s="75">
        <v>24.899999999999984</v>
      </c>
      <c r="Q17" s="75">
        <v>15.440000000000021</v>
      </c>
      <c r="R17" s="76">
        <v>0</v>
      </c>
      <c r="S17" s="75">
        <v>6749.6333542978937</v>
      </c>
      <c r="T17" s="75">
        <v>21.515728603950397</v>
      </c>
      <c r="U17" s="75">
        <v>0</v>
      </c>
      <c r="V17" s="74">
        <v>7615.4205217519611</v>
      </c>
      <c r="W17" s="75">
        <v>5.6999999999999993</v>
      </c>
      <c r="X17" s="76">
        <v>1.8399999999999976</v>
      </c>
      <c r="Y17" s="75">
        <v>6046.5414866141673</v>
      </c>
      <c r="Z17" s="75">
        <v>17.640000000001951</v>
      </c>
      <c r="AA17" s="75">
        <v>21.5</v>
      </c>
      <c r="AB17" s="79">
        <v>18.449999999999996</v>
      </c>
      <c r="AC17" s="75">
        <v>0</v>
      </c>
      <c r="AD17" s="74">
        <v>3560.9212258530142</v>
      </c>
      <c r="AE17" s="75">
        <v>8393.2565664560479</v>
      </c>
      <c r="AF17" s="75">
        <v>398.38572860397767</v>
      </c>
      <c r="AG17" s="75">
        <v>355.09999999999991</v>
      </c>
      <c r="AH17" s="75">
        <v>5.7657154910690025</v>
      </c>
      <c r="AI17" s="75">
        <v>720.00000000000307</v>
      </c>
      <c r="AJ17" s="76">
        <v>0</v>
      </c>
      <c r="AK17" s="75">
        <v>1072.5008037368757</v>
      </c>
      <c r="AL17" s="75">
        <v>533575.49106766738</v>
      </c>
      <c r="AM17" s="75">
        <v>200.691771499</v>
      </c>
      <c r="AN17" s="74">
        <v>641.79754691929065</v>
      </c>
      <c r="AO17" s="75">
        <v>441027.60840595543</v>
      </c>
      <c r="AP17" s="76">
        <v>55.636884869100001</v>
      </c>
      <c r="AQ17" s="75">
        <v>446.49999999999949</v>
      </c>
      <c r="AR17" s="75">
        <v>262147.70101098507</v>
      </c>
      <c r="AS17" s="75">
        <v>16458.7283493</v>
      </c>
      <c r="AT17" s="77">
        <v>11010.885882252118</v>
      </c>
      <c r="AU17" s="75">
        <v>88313.58333335405</v>
      </c>
      <c r="AV17" s="77">
        <v>99589.631515741334</v>
      </c>
      <c r="AW17" s="78"/>
    </row>
    <row r="18" spans="1:49" ht="14.45" customHeight="1" x14ac:dyDescent="0.25">
      <c r="A18" s="23">
        <f t="shared" si="0"/>
        <v>44620</v>
      </c>
      <c r="B18" s="75">
        <v>6472.5316885498614</v>
      </c>
      <c r="C18" s="75">
        <v>28.499999999999979</v>
      </c>
      <c r="D18" s="75">
        <v>63.870000000000026</v>
      </c>
      <c r="E18" s="75">
        <v>0</v>
      </c>
      <c r="F18" s="74">
        <v>6025.3632766076053</v>
      </c>
      <c r="G18" s="75">
        <v>78.970000000021216</v>
      </c>
      <c r="H18" s="75">
        <v>43.600000000000023</v>
      </c>
      <c r="I18" s="75">
        <v>86.640000000000228</v>
      </c>
      <c r="J18" s="76">
        <v>0</v>
      </c>
      <c r="K18" s="75">
        <v>9277.5948798884419</v>
      </c>
      <c r="L18" s="75">
        <v>3.9000000000000021</v>
      </c>
      <c r="M18" s="75">
        <v>4.7</v>
      </c>
      <c r="N18" s="74">
        <v>7488.0192706364751</v>
      </c>
      <c r="O18" s="75">
        <v>23.599999999966361</v>
      </c>
      <c r="P18" s="75">
        <v>22.800000000000018</v>
      </c>
      <c r="Q18" s="75">
        <v>13.569999999999997</v>
      </c>
      <c r="R18" s="76">
        <v>0</v>
      </c>
      <c r="S18" s="75">
        <v>6749.6333542978937</v>
      </c>
      <c r="T18" s="75">
        <v>19.440452213525447</v>
      </c>
      <c r="U18" s="75">
        <v>0</v>
      </c>
      <c r="V18" s="74">
        <v>7618.2548894684951</v>
      </c>
      <c r="W18" s="75">
        <v>5.2</v>
      </c>
      <c r="X18" s="76">
        <v>1.6699999999999993</v>
      </c>
      <c r="Y18" s="75">
        <v>6047.2867500656102</v>
      </c>
      <c r="Z18" s="75">
        <v>26.067000000020599</v>
      </c>
      <c r="AA18" s="75">
        <v>29.900000000000013</v>
      </c>
      <c r="AB18" s="79">
        <v>16.66</v>
      </c>
      <c r="AC18" s="75">
        <v>0</v>
      </c>
      <c r="AD18" s="74">
        <v>3558.1635605314923</v>
      </c>
      <c r="AE18" s="75">
        <v>8184.2608400069585</v>
      </c>
      <c r="AF18" s="75">
        <v>420.28945221428972</v>
      </c>
      <c r="AG18" s="75">
        <v>399.30000000000041</v>
      </c>
      <c r="AH18" s="75">
        <v>6.0048318629536732</v>
      </c>
      <c r="AI18" s="75">
        <v>639.99999999999807</v>
      </c>
      <c r="AJ18" s="76">
        <v>0</v>
      </c>
      <c r="AK18" s="75">
        <v>1074.4959684645657</v>
      </c>
      <c r="AL18" s="75">
        <v>534739.06254393852</v>
      </c>
      <c r="AM18" s="75">
        <v>203.59269820899999</v>
      </c>
      <c r="AN18" s="74">
        <v>641.79754691929065</v>
      </c>
      <c r="AO18" s="75">
        <v>514675.14849874232</v>
      </c>
      <c r="AP18" s="76">
        <v>65.032241153000001</v>
      </c>
      <c r="AQ18" s="75">
        <v>446.49999999999949</v>
      </c>
      <c r="AR18" s="75">
        <v>400440.19701836607</v>
      </c>
      <c r="AS18" s="75">
        <v>26005.074669099999</v>
      </c>
      <c r="AT18" s="77">
        <v>8715.2631542836498</v>
      </c>
      <c r="AU18" s="75">
        <v>15558.583333334776</v>
      </c>
      <c r="AV18" s="77">
        <v>94019.033015990324</v>
      </c>
      <c r="AW18" s="78"/>
    </row>
    <row r="19" spans="1:49" ht="14.45" customHeight="1" x14ac:dyDescent="0.25">
      <c r="A19" s="23">
        <f t="shared" si="0"/>
        <v>44651</v>
      </c>
      <c r="B19" s="75">
        <v>6469.1138115485492</v>
      </c>
      <c r="C19" s="75">
        <v>53.099999999999987</v>
      </c>
      <c r="D19" s="75">
        <v>67.439999999999728</v>
      </c>
      <c r="E19" s="75">
        <v>0</v>
      </c>
      <c r="F19" s="74">
        <v>6026.0594170603608</v>
      </c>
      <c r="G19" s="75">
        <v>109.23999999994865</v>
      </c>
      <c r="H19" s="75">
        <v>94.899999999999991</v>
      </c>
      <c r="I19" s="75">
        <v>79.32000000000005</v>
      </c>
      <c r="J19" s="76">
        <v>0</v>
      </c>
      <c r="K19" s="75">
        <v>9276.7649241141644</v>
      </c>
      <c r="L19" s="75">
        <v>4.4999999999999982</v>
      </c>
      <c r="M19" s="75">
        <v>5.200000000000002</v>
      </c>
      <c r="N19" s="74">
        <v>7490.7325492125901</v>
      </c>
      <c r="O19" s="75">
        <v>38.000000000048999</v>
      </c>
      <c r="P19" s="75">
        <v>37.299999999999983</v>
      </c>
      <c r="Q19" s="75">
        <v>16.539999999999981</v>
      </c>
      <c r="R19" s="76">
        <v>0</v>
      </c>
      <c r="S19" s="75">
        <v>6749.6333542978937</v>
      </c>
      <c r="T19" s="75">
        <v>26.280904427055113</v>
      </c>
      <c r="U19" s="75">
        <v>0</v>
      </c>
      <c r="V19" s="74">
        <v>7623.553898622039</v>
      </c>
      <c r="W19" s="75">
        <v>9.2999999999999883</v>
      </c>
      <c r="X19" s="76">
        <v>1.8399999999999976</v>
      </c>
      <c r="Y19" s="75">
        <v>6051.8703660433002</v>
      </c>
      <c r="Z19" s="75">
        <v>79.291000000053941</v>
      </c>
      <c r="AA19" s="75">
        <v>96.000000000000199</v>
      </c>
      <c r="AB19" s="79">
        <v>18.449999999999996</v>
      </c>
      <c r="AC19" s="75">
        <v>0</v>
      </c>
      <c r="AD19" s="74">
        <v>3556.5368307742747</v>
      </c>
      <c r="AE19" s="75">
        <v>8062.5515280494428</v>
      </c>
      <c r="AF19" s="75">
        <v>553.68390442718839</v>
      </c>
      <c r="AG19" s="75">
        <v>652.70000000000141</v>
      </c>
      <c r="AH19" s="75">
        <v>10.129958487871626</v>
      </c>
      <c r="AI19" s="75">
        <v>675.00000000000159</v>
      </c>
      <c r="AJ19" s="76">
        <v>0</v>
      </c>
      <c r="AK19" s="75">
        <v>1072.1255941568229</v>
      </c>
      <c r="AL19" s="75">
        <v>924320.27414367965</v>
      </c>
      <c r="AM19" s="75">
        <v>352.788588635</v>
      </c>
      <c r="AN19" s="74">
        <v>643.05459791010435</v>
      </c>
      <c r="AO19" s="75">
        <v>865392.69992108771</v>
      </c>
      <c r="AP19" s="76">
        <v>108.375343622</v>
      </c>
      <c r="AQ19" s="75">
        <v>446.69999999999948</v>
      </c>
      <c r="AR19" s="75">
        <v>643341.02646877756</v>
      </c>
      <c r="AS19" s="75">
        <v>41666.642157100003</v>
      </c>
      <c r="AT19" s="77">
        <v>15209.039350238081</v>
      </c>
      <c r="AU19" s="75">
        <v>88313.58333335405</v>
      </c>
      <c r="AV19" s="77">
        <v>117164.27237146038</v>
      </c>
      <c r="AW19" s="78"/>
    </row>
    <row r="20" spans="1:49" ht="14.45" customHeight="1" x14ac:dyDescent="0.25">
      <c r="A20" s="23">
        <f t="shared" si="0"/>
        <v>44681</v>
      </c>
      <c r="B20" s="75">
        <v>6471.1864809711224</v>
      </c>
      <c r="C20" s="75">
        <v>82.400000000000063</v>
      </c>
      <c r="D20" s="75">
        <v>72.989999999999924</v>
      </c>
      <c r="E20" s="75">
        <v>0</v>
      </c>
      <c r="F20" s="74">
        <v>6026.9405347440879</v>
      </c>
      <c r="G20" s="75">
        <v>115.88999999996123</v>
      </c>
      <c r="H20" s="75">
        <v>125.2999999999998</v>
      </c>
      <c r="I20" s="75">
        <v>76.760000000000247</v>
      </c>
      <c r="J20" s="76">
        <v>0</v>
      </c>
      <c r="K20" s="75">
        <v>9275.5562333333237</v>
      </c>
      <c r="L20" s="75">
        <v>8.9999999999999911</v>
      </c>
      <c r="M20" s="75">
        <v>10.000000000000014</v>
      </c>
      <c r="N20" s="74">
        <v>7495.7878253936924</v>
      </c>
      <c r="O20" s="75">
        <v>79.100000000008336</v>
      </c>
      <c r="P20" s="75">
        <v>78.099999999999994</v>
      </c>
      <c r="Q20" s="75">
        <v>38.299999999999969</v>
      </c>
      <c r="R20" s="76">
        <v>0</v>
      </c>
      <c r="S20" s="75">
        <v>6749.6333542978937</v>
      </c>
      <c r="T20" s="75">
        <v>60.400803859594483</v>
      </c>
      <c r="U20" s="75">
        <v>0</v>
      </c>
      <c r="V20" s="74">
        <v>7635.5089129265007</v>
      </c>
      <c r="W20" s="75">
        <v>22.900000000000023</v>
      </c>
      <c r="X20" s="76">
        <v>1.7900000000000014</v>
      </c>
      <c r="Y20" s="75">
        <v>6057.7081811023563</v>
      </c>
      <c r="Z20" s="75">
        <v>113.31100000005841</v>
      </c>
      <c r="AA20" s="75">
        <v>152.40000000000006</v>
      </c>
      <c r="AB20" s="79">
        <v>17.850000000000001</v>
      </c>
      <c r="AC20" s="75">
        <v>0</v>
      </c>
      <c r="AD20" s="74">
        <v>3558.3410332349044</v>
      </c>
      <c r="AE20" s="75">
        <v>8197.609332541504</v>
      </c>
      <c r="AF20" s="75">
        <v>762.11980385962613</v>
      </c>
      <c r="AG20" s="75">
        <v>945.30000000000109</v>
      </c>
      <c r="AH20" s="75">
        <v>16.257378258175962</v>
      </c>
      <c r="AI20" s="75">
        <v>599.99999999999727</v>
      </c>
      <c r="AJ20" s="76">
        <v>0</v>
      </c>
      <c r="AK20" s="75">
        <v>1068.1319266207338</v>
      </c>
      <c r="AL20" s="75">
        <v>953751.23170543544</v>
      </c>
      <c r="AM20" s="75">
        <v>358.80954908400003</v>
      </c>
      <c r="AN20" s="74">
        <v>642.99981670275531</v>
      </c>
      <c r="AO20" s="75">
        <v>926054.41305584926</v>
      </c>
      <c r="AP20" s="76">
        <v>116.03746687099999</v>
      </c>
      <c r="AQ20" s="75">
        <v>448.69999999999948</v>
      </c>
      <c r="AR20" s="75">
        <v>710689.77478118334</v>
      </c>
      <c r="AS20" s="75">
        <v>46781.214582699999</v>
      </c>
      <c r="AT20" s="77">
        <v>16944.333586589924</v>
      </c>
      <c r="AU20" s="75">
        <v>46639.583333408948</v>
      </c>
      <c r="AV20" s="77">
        <v>117276.12269541872</v>
      </c>
      <c r="AW20" s="78"/>
    </row>
    <row r="21" spans="1:49" ht="14.45" customHeight="1" x14ac:dyDescent="0.25">
      <c r="A21" s="23">
        <f t="shared" si="0"/>
        <v>44712</v>
      </c>
      <c r="B21" s="75">
        <v>6485.722916797893</v>
      </c>
      <c r="C21" s="75">
        <v>168.79999999999978</v>
      </c>
      <c r="D21" s="75">
        <v>91.440000000000254</v>
      </c>
      <c r="E21" s="75">
        <v>0</v>
      </c>
      <c r="F21" s="74">
        <v>6029.0480100393634</v>
      </c>
      <c r="G21" s="75">
        <v>168.84000000006205</v>
      </c>
      <c r="H21" s="75">
        <v>246.19999999999996</v>
      </c>
      <c r="I21" s="75">
        <v>77.949999999999704</v>
      </c>
      <c r="J21" s="76">
        <v>0</v>
      </c>
      <c r="K21" s="75">
        <v>9291.0082432742693</v>
      </c>
      <c r="L21" s="75">
        <v>26.899999999999977</v>
      </c>
      <c r="M21" s="75">
        <v>12.000000000000009</v>
      </c>
      <c r="N21" s="74">
        <v>7491.8730359579977</v>
      </c>
      <c r="O21" s="75">
        <v>183.99999999998582</v>
      </c>
      <c r="P21" s="75">
        <v>198.90000000000018</v>
      </c>
      <c r="Q21" s="75">
        <v>214.06000000000014</v>
      </c>
      <c r="R21" s="76">
        <v>7.03598957040718</v>
      </c>
      <c r="S21" s="75">
        <v>6749.6333542978937</v>
      </c>
      <c r="T21" s="75">
        <v>261.51964801331121</v>
      </c>
      <c r="U21" s="75">
        <v>125.38609429514555</v>
      </c>
      <c r="V21" s="74">
        <v>7652.2894876640339</v>
      </c>
      <c r="W21" s="75">
        <v>68.900000000000105</v>
      </c>
      <c r="X21" s="76">
        <v>31.040000000000013</v>
      </c>
      <c r="Y21" s="75">
        <v>6068.0294233595741</v>
      </c>
      <c r="Z21" s="75">
        <v>193.4329999999722</v>
      </c>
      <c r="AA21" s="75">
        <v>266.40000000000032</v>
      </c>
      <c r="AB21" s="79">
        <v>18.449999999999996</v>
      </c>
      <c r="AC21" s="75">
        <v>0</v>
      </c>
      <c r="AD21" s="74">
        <v>3573.1905267716502</v>
      </c>
      <c r="AE21" s="75">
        <v>9367.4163034888243</v>
      </c>
      <c r="AF21" s="75">
        <v>1883.9456480135623</v>
      </c>
      <c r="AG21" s="75">
        <v>2213.1999999999998</v>
      </c>
      <c r="AH21" s="75">
        <v>20.554117113802455</v>
      </c>
      <c r="AI21" s="75">
        <v>599.99999999999989</v>
      </c>
      <c r="AJ21" s="76">
        <v>0</v>
      </c>
      <c r="AK21" s="75">
        <v>1063.9444839895002</v>
      </c>
      <c r="AL21" s="75">
        <v>934713.09417815646</v>
      </c>
      <c r="AM21" s="75">
        <v>349.80901616900002</v>
      </c>
      <c r="AN21" s="74">
        <v>642.99981670275531</v>
      </c>
      <c r="AO21" s="75">
        <v>902710.78102638817</v>
      </c>
      <c r="AP21" s="76">
        <v>113.342919378</v>
      </c>
      <c r="AQ21" s="75">
        <v>448.69999999999948</v>
      </c>
      <c r="AR21" s="75">
        <v>701404.47118160455</v>
      </c>
      <c r="AS21" s="75">
        <v>46627.016818600001</v>
      </c>
      <c r="AT21" s="77">
        <v>20560.60746711649</v>
      </c>
      <c r="AU21" s="75">
        <v>62036.583333370436</v>
      </c>
      <c r="AV21" s="77">
        <v>128880.69960860642</v>
      </c>
      <c r="AW21" s="78"/>
    </row>
    <row r="22" spans="1:49" ht="14.45" customHeight="1" x14ac:dyDescent="0.25">
      <c r="A22" s="23">
        <f t="shared" si="0"/>
        <v>44742</v>
      </c>
      <c r="B22" s="75">
        <v>6500.0836463910691</v>
      </c>
      <c r="C22" s="75">
        <v>278.00000000000006</v>
      </c>
      <c r="D22" s="75">
        <v>176.32999999999973</v>
      </c>
      <c r="E22" s="75">
        <v>72.777112275953684</v>
      </c>
      <c r="F22" s="74">
        <v>6030.7481133530118</v>
      </c>
      <c r="G22" s="75">
        <v>258.22999999926685</v>
      </c>
      <c r="H22" s="75">
        <v>359.89999999999992</v>
      </c>
      <c r="I22" s="75">
        <v>179.50000000000026</v>
      </c>
      <c r="J22" s="76">
        <v>0</v>
      </c>
      <c r="K22" s="75">
        <v>9310.0933249671816</v>
      </c>
      <c r="L22" s="75">
        <v>42.100000000000023</v>
      </c>
      <c r="M22" s="75">
        <v>15.999999999999991</v>
      </c>
      <c r="N22" s="74">
        <v>7513.7271303805701</v>
      </c>
      <c r="O22" s="75">
        <v>235.60000000055453</v>
      </c>
      <c r="P22" s="75">
        <v>261.69999999999982</v>
      </c>
      <c r="Q22" s="75">
        <v>51.629999999999988</v>
      </c>
      <c r="R22" s="76">
        <v>0</v>
      </c>
      <c r="S22" s="75">
        <v>6749.6333542978937</v>
      </c>
      <c r="T22" s="75">
        <v>101.15376855925879</v>
      </c>
      <c r="U22" s="75">
        <v>0</v>
      </c>
      <c r="V22" s="74">
        <v>7661.8379441929064</v>
      </c>
      <c r="W22" s="75">
        <v>67.699999999999875</v>
      </c>
      <c r="X22" s="76">
        <v>42.739999999999988</v>
      </c>
      <c r="Y22" s="75">
        <v>6074.0526654527494</v>
      </c>
      <c r="Z22" s="75">
        <v>160.35599999994238</v>
      </c>
      <c r="AA22" s="75">
        <v>212.39999999999981</v>
      </c>
      <c r="AB22" s="79">
        <v>17.850000000000001</v>
      </c>
      <c r="AC22" s="75">
        <v>0</v>
      </c>
      <c r="AD22" s="74">
        <v>3588.5053383858226</v>
      </c>
      <c r="AE22" s="75">
        <v>10685.740756026496</v>
      </c>
      <c r="AF22" s="75">
        <v>2090.152768559044</v>
      </c>
      <c r="AG22" s="75">
        <v>2594.4999999999982</v>
      </c>
      <c r="AH22" s="75">
        <v>36.362357043438855</v>
      </c>
      <c r="AI22" s="75">
        <v>629.99999999999932</v>
      </c>
      <c r="AJ22" s="76">
        <v>0</v>
      </c>
      <c r="AK22" s="75">
        <v>1059.6411713943558</v>
      </c>
      <c r="AL22" s="75">
        <v>931216.73837366712</v>
      </c>
      <c r="AM22" s="75">
        <v>342.800264572</v>
      </c>
      <c r="AN22" s="74">
        <v>642.99981670275531</v>
      </c>
      <c r="AO22" s="75">
        <v>891004.82338700234</v>
      </c>
      <c r="AP22" s="76">
        <v>111.78870880700001</v>
      </c>
      <c r="AQ22" s="75">
        <v>448.69999999999948</v>
      </c>
      <c r="AR22" s="75">
        <v>719261.51082378451</v>
      </c>
      <c r="AS22" s="75">
        <v>47895.979590800001</v>
      </c>
      <c r="AT22" s="77">
        <v>28795.712206278185</v>
      </c>
      <c r="AU22" s="75">
        <v>59838.583333296636</v>
      </c>
      <c r="AV22" s="77">
        <v>93820.898156461044</v>
      </c>
      <c r="AW22" s="78"/>
    </row>
    <row r="23" spans="1:49" ht="14.45" customHeight="1" x14ac:dyDescent="0.25">
      <c r="A23" s="23">
        <f t="shared" si="0"/>
        <v>44773</v>
      </c>
      <c r="B23" s="75">
        <v>6503.2332100393633</v>
      </c>
      <c r="C23" s="75">
        <v>163.49999999999977</v>
      </c>
      <c r="D23" s="75">
        <v>136.65999999999988</v>
      </c>
      <c r="E23" s="75">
        <v>34.845995057941565</v>
      </c>
      <c r="F23" s="74">
        <v>6032.339659416004</v>
      </c>
      <c r="G23" s="75">
        <v>157.55999999992227</v>
      </c>
      <c r="H23" s="75">
        <v>184.40000000000006</v>
      </c>
      <c r="I23" s="75">
        <v>78.94000000000014</v>
      </c>
      <c r="J23" s="76">
        <v>0</v>
      </c>
      <c r="K23" s="75">
        <v>9309.9045847768939</v>
      </c>
      <c r="L23" s="75">
        <v>15.700000000000024</v>
      </c>
      <c r="M23" s="75">
        <v>15.999999999999993</v>
      </c>
      <c r="N23" s="74">
        <v>7514.2248087270254</v>
      </c>
      <c r="O23" s="75">
        <v>98.499999999929869</v>
      </c>
      <c r="P23" s="75">
        <v>98.2</v>
      </c>
      <c r="Q23" s="75">
        <v>92.510000000000232</v>
      </c>
      <c r="R23" s="76">
        <v>0</v>
      </c>
      <c r="S23" s="75">
        <v>6749.6333542978937</v>
      </c>
      <c r="T23" s="75">
        <v>104.52427105644158</v>
      </c>
      <c r="U23" s="75">
        <v>0</v>
      </c>
      <c r="V23" s="74">
        <v>7654.897175196842</v>
      </c>
      <c r="W23" s="75">
        <v>24.200000000000014</v>
      </c>
      <c r="X23" s="76">
        <v>41.54</v>
      </c>
      <c r="Y23" s="75">
        <v>6072.4867865813585</v>
      </c>
      <c r="Z23" s="75">
        <v>63.504999999903006</v>
      </c>
      <c r="AA23" s="75">
        <v>48.300000000000011</v>
      </c>
      <c r="AB23" s="79">
        <v>23.210000000000015</v>
      </c>
      <c r="AC23" s="75">
        <v>0</v>
      </c>
      <c r="AD23" s="74">
        <v>3589.1720406824111</v>
      </c>
      <c r="AE23" s="75">
        <v>10745.719396123133</v>
      </c>
      <c r="AF23" s="75">
        <v>821.15927105660433</v>
      </c>
      <c r="AG23" s="75">
        <v>897.80000000000064</v>
      </c>
      <c r="AH23" s="75">
        <v>46.382341310230984</v>
      </c>
      <c r="AI23" s="75">
        <v>710.00000000000011</v>
      </c>
      <c r="AJ23" s="76">
        <v>0</v>
      </c>
      <c r="AK23" s="75">
        <v>1057.9566857545919</v>
      </c>
      <c r="AL23" s="75">
        <v>824675.787741584</v>
      </c>
      <c r="AM23" s="75">
        <v>302.77106090699999</v>
      </c>
      <c r="AN23" s="74">
        <v>641.99704448162663</v>
      </c>
      <c r="AO23" s="75">
        <v>814786.79360661551</v>
      </c>
      <c r="AP23" s="76">
        <v>102.31248124300001</v>
      </c>
      <c r="AQ23" s="75">
        <v>447.99999999999949</v>
      </c>
      <c r="AR23" s="75">
        <v>695821.43977058586</v>
      </c>
      <c r="AS23" s="75">
        <v>46066.0136146</v>
      </c>
      <c r="AT23" s="77">
        <v>33236.962035234625</v>
      </c>
      <c r="AU23" s="75">
        <v>62042.583333241491</v>
      </c>
      <c r="AV23" s="77">
        <v>58582.136185730189</v>
      </c>
      <c r="AW23" s="78"/>
    </row>
    <row r="24" spans="1:49" ht="14.45" customHeight="1" x14ac:dyDescent="0.25">
      <c r="A24" s="23">
        <f t="shared" si="0"/>
        <v>44804</v>
      </c>
      <c r="B24" s="75">
        <v>6503.6146043963181</v>
      </c>
      <c r="C24" s="75">
        <v>70.700000000000273</v>
      </c>
      <c r="D24" s="75">
        <v>65.450000000000216</v>
      </c>
      <c r="E24" s="75">
        <v>0</v>
      </c>
      <c r="F24" s="74">
        <v>6031.2983548556367</v>
      </c>
      <c r="G24" s="75">
        <v>75.149999999907479</v>
      </c>
      <c r="H24" s="75">
        <v>80.399999999999878</v>
      </c>
      <c r="I24" s="75">
        <v>104.62999999999982</v>
      </c>
      <c r="J24" s="76">
        <v>0</v>
      </c>
      <c r="K24" s="75">
        <v>9305.343521555109</v>
      </c>
      <c r="L24" s="75">
        <v>9.0000000000000213</v>
      </c>
      <c r="M24" s="75">
        <v>15.999999999999993</v>
      </c>
      <c r="N24" s="74">
        <v>7510.7695120734834</v>
      </c>
      <c r="O24" s="75">
        <v>66.30000000009521</v>
      </c>
      <c r="P24" s="75">
        <v>59.300000000000011</v>
      </c>
      <c r="Q24" s="75">
        <v>95.569999999999723</v>
      </c>
      <c r="R24" s="76">
        <v>0</v>
      </c>
      <c r="S24" s="75">
        <v>6749.6333542978937</v>
      </c>
      <c r="T24" s="75">
        <v>104.52859273617216</v>
      </c>
      <c r="U24" s="75">
        <v>0</v>
      </c>
      <c r="V24" s="74">
        <v>7646.1671336942181</v>
      </c>
      <c r="W24" s="75">
        <v>17.199999999999985</v>
      </c>
      <c r="X24" s="76">
        <v>37.810000000000016</v>
      </c>
      <c r="Y24" s="75">
        <v>6068.5671832349017</v>
      </c>
      <c r="Z24" s="75">
        <v>48.673999999966114</v>
      </c>
      <c r="AA24" s="75">
        <v>29.700000000000024</v>
      </c>
      <c r="AB24" s="79">
        <v>50.779999999999987</v>
      </c>
      <c r="AC24" s="75">
        <v>0</v>
      </c>
      <c r="AD24" s="74">
        <v>3586.7990475393663</v>
      </c>
      <c r="AE24" s="75">
        <v>10533.22219955221</v>
      </c>
      <c r="AF24" s="75">
        <v>576.66159273651124</v>
      </c>
      <c r="AG24" s="75">
        <v>445.10000000000014</v>
      </c>
      <c r="AH24" s="75">
        <v>46.158559464566501</v>
      </c>
      <c r="AI24" s="75">
        <v>760.00000000000284</v>
      </c>
      <c r="AJ24" s="76">
        <v>0</v>
      </c>
      <c r="AK24" s="75">
        <v>1057.7082398293953</v>
      </c>
      <c r="AL24" s="75">
        <v>772176.32073600742</v>
      </c>
      <c r="AM24" s="75">
        <v>281.10311157699999</v>
      </c>
      <c r="AN24" s="74">
        <v>641.99704448162663</v>
      </c>
      <c r="AO24" s="75">
        <v>737306.99653570144</v>
      </c>
      <c r="AP24" s="76">
        <v>92.56520318710001</v>
      </c>
      <c r="AQ24" s="75">
        <v>447.50000000328043</v>
      </c>
      <c r="AR24" s="75">
        <v>620797.60705176776</v>
      </c>
      <c r="AS24" s="75">
        <v>40681.498773500003</v>
      </c>
      <c r="AT24" s="77">
        <v>34384.342377322777</v>
      </c>
      <c r="AU24" s="75">
        <v>62042.583333241491</v>
      </c>
      <c r="AV24" s="77">
        <v>52723.922567157169</v>
      </c>
      <c r="AW24" s="78"/>
    </row>
    <row r="25" spans="1:49" ht="14.45" customHeight="1" x14ac:dyDescent="0.25">
      <c r="A25" s="23">
        <f t="shared" si="0"/>
        <v>44834</v>
      </c>
      <c r="B25" s="75">
        <v>6501.3593298884443</v>
      </c>
      <c r="C25" s="75">
        <v>43.90000000000002</v>
      </c>
      <c r="D25" s="75">
        <v>59.500000000000021</v>
      </c>
      <c r="E25" s="75">
        <v>0</v>
      </c>
      <c r="F25" s="74">
        <v>6029.9931917650856</v>
      </c>
      <c r="G25" s="75">
        <v>65.700000000016743</v>
      </c>
      <c r="H25" s="75">
        <v>50.099999999999987</v>
      </c>
      <c r="I25" s="75">
        <v>107.00999999999988</v>
      </c>
      <c r="J25" s="76">
        <v>0</v>
      </c>
      <c r="K25" s="75">
        <v>9299.1777668306986</v>
      </c>
      <c r="L25" s="75">
        <v>7.3000000000000194</v>
      </c>
      <c r="M25" s="75">
        <v>15.999999999999991</v>
      </c>
      <c r="N25" s="74">
        <v>7505.5453826771572</v>
      </c>
      <c r="O25" s="75">
        <v>46.200000000058807</v>
      </c>
      <c r="P25" s="75">
        <v>37.5</v>
      </c>
      <c r="Q25" s="75">
        <v>90.100000000000179</v>
      </c>
      <c r="R25" s="76">
        <v>0</v>
      </c>
      <c r="S25" s="75">
        <v>6749.6333542978937</v>
      </c>
      <c r="T25" s="75">
        <v>98.076532463665487</v>
      </c>
      <c r="U25" s="75">
        <v>50.107159427208721</v>
      </c>
      <c r="V25" s="74">
        <v>7640.7118768044538</v>
      </c>
      <c r="W25" s="75">
        <v>17.79999999999999</v>
      </c>
      <c r="X25" s="76">
        <v>29.619999999999997</v>
      </c>
      <c r="Y25" s="75">
        <v>6063.1746695537995</v>
      </c>
      <c r="Z25" s="75">
        <v>51.312999999938434</v>
      </c>
      <c r="AA25" s="75">
        <v>41.000000000000028</v>
      </c>
      <c r="AB25" s="79">
        <v>94.249999999999844</v>
      </c>
      <c r="AC25" s="75">
        <v>0</v>
      </c>
      <c r="AD25" s="74">
        <v>3586.4745753936968</v>
      </c>
      <c r="AE25" s="75">
        <v>10504.379501089186</v>
      </c>
      <c r="AF25" s="75">
        <v>576.21353246437388</v>
      </c>
      <c r="AG25" s="75">
        <v>385.8</v>
      </c>
      <c r="AH25" s="75">
        <v>42.363646105236505</v>
      </c>
      <c r="AI25" s="75">
        <v>565.00000000000011</v>
      </c>
      <c r="AJ25" s="76">
        <v>0</v>
      </c>
      <c r="AK25" s="75">
        <v>1056.1535542585291</v>
      </c>
      <c r="AL25" s="75">
        <v>680320.28290485987</v>
      </c>
      <c r="AM25" s="75">
        <v>244.943589669</v>
      </c>
      <c r="AN25" s="74">
        <v>640.00753110564244</v>
      </c>
      <c r="AO25" s="75">
        <v>701336.07322362519</v>
      </c>
      <c r="AP25" s="76">
        <v>87.472455842800002</v>
      </c>
      <c r="AQ25" s="75">
        <v>447.49999999999949</v>
      </c>
      <c r="AR25" s="75">
        <v>527478.52910159912</v>
      </c>
      <c r="AS25" s="75">
        <v>34316.807650399998</v>
      </c>
      <c r="AT25" s="77">
        <v>30617.210825916387</v>
      </c>
      <c r="AU25" s="75">
        <v>59842.583333392795</v>
      </c>
      <c r="AV25" s="77">
        <v>105548.51042593988</v>
      </c>
      <c r="AW25" s="78"/>
    </row>
    <row r="26" spans="1:49" ht="14.45" customHeight="1" x14ac:dyDescent="0.25">
      <c r="A26" s="23">
        <f t="shared" si="0"/>
        <v>44865</v>
      </c>
      <c r="B26" s="75">
        <v>6498.9743941929064</v>
      </c>
      <c r="C26" s="75">
        <v>44.700000000000024</v>
      </c>
      <c r="D26" s="75">
        <v>61.489999999999711</v>
      </c>
      <c r="E26" s="75">
        <v>0</v>
      </c>
      <c r="F26" s="74">
        <v>6029.5380582020935</v>
      </c>
      <c r="G26" s="75">
        <v>70.689999999993489</v>
      </c>
      <c r="H26" s="75">
        <v>53.899999999999984</v>
      </c>
      <c r="I26" s="75">
        <v>81.519999999999854</v>
      </c>
      <c r="J26" s="76">
        <v>0</v>
      </c>
      <c r="K26" s="75">
        <v>9295.0606751312243</v>
      </c>
      <c r="L26" s="75">
        <v>6.700000000000002</v>
      </c>
      <c r="M26" s="75">
        <v>12.000000000000009</v>
      </c>
      <c r="N26" s="74">
        <v>7500.1795467847687</v>
      </c>
      <c r="O26" s="75">
        <v>43.199999999911704</v>
      </c>
      <c r="P26" s="75">
        <v>37.899999999999984</v>
      </c>
      <c r="Q26" s="75">
        <v>87.469999999999857</v>
      </c>
      <c r="R26" s="76">
        <v>0</v>
      </c>
      <c r="S26" s="75">
        <v>6749.6333542978937</v>
      </c>
      <c r="T26" s="75">
        <v>96.001406924218216</v>
      </c>
      <c r="U26" s="75">
        <v>0</v>
      </c>
      <c r="V26" s="74">
        <v>7639.1157502296501</v>
      </c>
      <c r="W26" s="75">
        <v>14.000000000000002</v>
      </c>
      <c r="X26" s="76">
        <v>17.199999999999985</v>
      </c>
      <c r="Y26" s="75">
        <v>6064.3512336614112</v>
      </c>
      <c r="Z26" s="75">
        <v>45.002000000055048</v>
      </c>
      <c r="AA26" s="75">
        <v>43.300000000000018</v>
      </c>
      <c r="AB26" s="79">
        <v>18.449999999999996</v>
      </c>
      <c r="AC26" s="75">
        <v>0</v>
      </c>
      <c r="AD26" s="74">
        <v>3585.09033270997</v>
      </c>
      <c r="AE26" s="75">
        <v>10381.905236854891</v>
      </c>
      <c r="AF26" s="75">
        <v>536.96440692386773</v>
      </c>
      <c r="AG26" s="75">
        <v>473.89999999999981</v>
      </c>
      <c r="AH26" s="75">
        <v>29.236609269255375</v>
      </c>
      <c r="AI26" s="75">
        <v>639.99999999999716</v>
      </c>
      <c r="AJ26" s="76">
        <v>0</v>
      </c>
      <c r="AK26" s="75">
        <v>1058.3812204494739</v>
      </c>
      <c r="AL26" s="75">
        <v>473509.54813364823</v>
      </c>
      <c r="AM26" s="75">
        <v>173.10475875499998</v>
      </c>
      <c r="AN26" s="74">
        <v>632.99732935367388</v>
      </c>
      <c r="AO26" s="75">
        <v>631581.53268706962</v>
      </c>
      <c r="AP26" s="76">
        <v>76.5526858387</v>
      </c>
      <c r="AQ26" s="75">
        <v>447.49999999999949</v>
      </c>
      <c r="AR26" s="75">
        <v>469577.77979990758</v>
      </c>
      <c r="AS26" s="75">
        <v>30928.909979200002</v>
      </c>
      <c r="AT26" s="77">
        <v>25577.70257674835</v>
      </c>
      <c r="AU26" s="75">
        <v>62036.583333370436</v>
      </c>
      <c r="AV26" s="77">
        <v>105447.84513431434</v>
      </c>
      <c r="AW26" s="78"/>
    </row>
    <row r="27" spans="1:49" x14ac:dyDescent="0.25">
      <c r="A27" s="23">
        <f t="shared" si="0"/>
        <v>44895</v>
      </c>
      <c r="B27" s="75">
        <v>6496.6537627952684</v>
      </c>
      <c r="C27" s="75">
        <v>43.200000000000017</v>
      </c>
      <c r="D27" s="75">
        <v>59.500000000000021</v>
      </c>
      <c r="E27" s="75">
        <v>0</v>
      </c>
      <c r="F27" s="74">
        <v>6029.3201543963196</v>
      </c>
      <c r="G27" s="75">
        <v>66.200000000058779</v>
      </c>
      <c r="H27" s="75">
        <v>49.899999999999991</v>
      </c>
      <c r="I27" s="75">
        <v>71.400000000000119</v>
      </c>
      <c r="J27" s="76">
        <v>0</v>
      </c>
      <c r="K27" s="75">
        <v>9295.1011489173125</v>
      </c>
      <c r="L27" s="75">
        <v>5.0999999999999988</v>
      </c>
      <c r="M27" s="75">
        <v>5.0499999999999972</v>
      </c>
      <c r="N27" s="74">
        <v>7500.0450931102278</v>
      </c>
      <c r="O27" s="75">
        <v>31.149999999907511</v>
      </c>
      <c r="P27" s="75">
        <v>31.200000000000006</v>
      </c>
      <c r="Q27" s="75">
        <v>32.010000000000012</v>
      </c>
      <c r="R27" s="76">
        <v>0</v>
      </c>
      <c r="S27" s="75">
        <v>6749.6333542978937</v>
      </c>
      <c r="T27" s="75">
        <v>38.678341657267872</v>
      </c>
      <c r="U27" s="75">
        <v>0</v>
      </c>
      <c r="V27" s="74">
        <v>7642.1556713254504</v>
      </c>
      <c r="W27" s="75">
        <v>9.1000000000000156</v>
      </c>
      <c r="X27" s="76">
        <v>2.4799999999999986</v>
      </c>
      <c r="Y27" s="75">
        <v>6064.5471805774214</v>
      </c>
      <c r="Z27" s="75">
        <v>21.431000000043355</v>
      </c>
      <c r="AA27" s="75">
        <v>28.100000000000023</v>
      </c>
      <c r="AB27" s="79">
        <v>17.850000000000001</v>
      </c>
      <c r="AC27" s="75">
        <v>0</v>
      </c>
      <c r="AD27" s="74">
        <v>3583.0319714238803</v>
      </c>
      <c r="AE27" s="75">
        <v>10201.509287253868</v>
      </c>
      <c r="AF27" s="75">
        <v>473.22934165645518</v>
      </c>
      <c r="AG27" s="75">
        <v>461.0999999999998</v>
      </c>
      <c r="AH27" s="75">
        <v>28.05696274013172</v>
      </c>
      <c r="AI27" s="75">
        <v>640.00000000000193</v>
      </c>
      <c r="AJ27" s="76">
        <v>0</v>
      </c>
      <c r="AK27" s="75">
        <v>1059.2667910859568</v>
      </c>
      <c r="AL27" s="75">
        <v>583325.34803809773</v>
      </c>
      <c r="AM27" s="75">
        <v>220.613942073</v>
      </c>
      <c r="AN27" s="74">
        <v>634.99500232611479</v>
      </c>
      <c r="AO27" s="75">
        <v>503161.59435700264</v>
      </c>
      <c r="AP27" s="76">
        <v>60.199143991299998</v>
      </c>
      <c r="AQ27" s="75">
        <v>447.49999999999949</v>
      </c>
      <c r="AR27" s="75">
        <v>339748.76331566484</v>
      </c>
      <c r="AS27" s="75">
        <v>22001.778794000002</v>
      </c>
      <c r="AT27" s="77">
        <v>15329.725486883528</v>
      </c>
      <c r="AU27" s="75">
        <v>59838.583333296636</v>
      </c>
      <c r="AV27" s="77">
        <v>105548.51042593988</v>
      </c>
      <c r="AW27" s="78"/>
    </row>
    <row r="28" spans="1:49" x14ac:dyDescent="0.25">
      <c r="A28" s="23">
        <f t="shared" si="0"/>
        <v>44926</v>
      </c>
      <c r="B28" s="11"/>
      <c r="C28" s="11"/>
      <c r="D28" s="11"/>
      <c r="E28" s="11"/>
      <c r="F28" s="10"/>
      <c r="G28" s="11"/>
      <c r="H28" s="11"/>
      <c r="I28" s="11"/>
      <c r="J28" s="12"/>
      <c r="K28" s="11"/>
      <c r="L28" s="11"/>
      <c r="M28" s="11"/>
      <c r="N28" s="10"/>
      <c r="O28" s="11"/>
      <c r="P28" s="11"/>
      <c r="Q28" s="11"/>
      <c r="R28" s="12"/>
      <c r="S28" s="11"/>
      <c r="T28" s="11"/>
      <c r="U28" s="11"/>
      <c r="V28" s="10"/>
      <c r="W28" s="11"/>
      <c r="X28" s="12"/>
      <c r="Y28" s="11"/>
      <c r="Z28" s="11"/>
      <c r="AA28" s="11"/>
      <c r="AB28" s="41"/>
      <c r="AC28" s="11"/>
      <c r="AD28" s="10"/>
      <c r="AE28" s="11"/>
      <c r="AF28" s="11"/>
      <c r="AG28" s="11"/>
      <c r="AH28" s="11"/>
      <c r="AI28" s="11"/>
      <c r="AJ28" s="12"/>
      <c r="AK28" s="11"/>
      <c r="AL28" s="11"/>
      <c r="AM28" s="11"/>
      <c r="AN28" s="10"/>
      <c r="AO28" s="11"/>
      <c r="AP28" s="12"/>
      <c r="AQ28" s="11"/>
      <c r="AR28" s="11"/>
      <c r="AS28" s="11"/>
      <c r="AT28" s="13"/>
      <c r="AU28" s="11"/>
      <c r="AV28" s="13"/>
      <c r="AW28" s="78"/>
    </row>
    <row r="29" spans="1:49" x14ac:dyDescent="0.25">
      <c r="A29" s="23">
        <f t="shared" si="0"/>
        <v>44957</v>
      </c>
      <c r="B29" s="11"/>
      <c r="C29" s="11"/>
      <c r="D29" s="11"/>
      <c r="E29" s="11"/>
      <c r="F29" s="10"/>
      <c r="G29" s="11"/>
      <c r="H29" s="11"/>
      <c r="I29" s="11"/>
      <c r="J29" s="12"/>
      <c r="K29" s="11"/>
      <c r="L29" s="11"/>
      <c r="M29" s="11"/>
      <c r="N29" s="10"/>
      <c r="O29" s="11"/>
      <c r="P29" s="11"/>
      <c r="Q29" s="11"/>
      <c r="R29" s="12"/>
      <c r="S29" s="11"/>
      <c r="T29" s="11"/>
      <c r="U29" s="11"/>
      <c r="V29" s="10"/>
      <c r="W29" s="11"/>
      <c r="X29" s="12"/>
      <c r="Y29" s="11"/>
      <c r="Z29" s="11"/>
      <c r="AA29" s="11"/>
      <c r="AB29" s="41"/>
      <c r="AC29" s="11"/>
      <c r="AD29" s="10"/>
      <c r="AE29" s="11"/>
      <c r="AF29" s="11"/>
      <c r="AG29" s="11"/>
      <c r="AH29" s="11"/>
      <c r="AI29" s="11"/>
      <c r="AJ29" s="12"/>
      <c r="AK29" s="11"/>
      <c r="AL29" s="11"/>
      <c r="AM29" s="11"/>
      <c r="AN29" s="10"/>
      <c r="AO29" s="11"/>
      <c r="AP29" s="12"/>
      <c r="AQ29" s="11"/>
      <c r="AR29" s="11"/>
      <c r="AS29" s="11"/>
      <c r="AT29" s="13"/>
      <c r="AU29" s="11"/>
      <c r="AV29" s="13"/>
      <c r="AW29" s="78"/>
    </row>
    <row r="30" spans="1:49" x14ac:dyDescent="0.25">
      <c r="A30" s="23">
        <f t="shared" si="0"/>
        <v>44985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11"/>
      <c r="AM30" s="11"/>
      <c r="AN30" s="10"/>
      <c r="AO30" s="11"/>
      <c r="AP30" s="12"/>
      <c r="AQ30" s="11"/>
      <c r="AR30" s="11"/>
      <c r="AS30" s="11"/>
      <c r="AT30" s="13"/>
      <c r="AU30" s="11"/>
      <c r="AV30" s="13"/>
      <c r="AW30" s="78"/>
    </row>
    <row r="31" spans="1:49" x14ac:dyDescent="0.25">
      <c r="A31" s="23">
        <f t="shared" si="0"/>
        <v>45016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11"/>
      <c r="AM31" s="11"/>
      <c r="AN31" s="10"/>
      <c r="AO31" s="11"/>
      <c r="AP31" s="12"/>
      <c r="AQ31" s="11"/>
      <c r="AR31" s="11"/>
      <c r="AS31" s="11"/>
      <c r="AT31" s="13"/>
      <c r="AU31" s="11"/>
      <c r="AV31" s="13"/>
      <c r="AW31" s="78"/>
    </row>
    <row r="32" spans="1:49" x14ac:dyDescent="0.25">
      <c r="A32" s="23">
        <f t="shared" si="0"/>
        <v>45046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11"/>
      <c r="AM32" s="11"/>
      <c r="AN32" s="10"/>
      <c r="AO32" s="11"/>
      <c r="AP32" s="12"/>
      <c r="AQ32" s="11"/>
      <c r="AR32" s="11"/>
      <c r="AS32" s="11"/>
      <c r="AT32" s="13"/>
      <c r="AU32" s="11"/>
      <c r="AV32" s="13"/>
      <c r="AW32" s="78"/>
    </row>
    <row r="33" spans="1:49" x14ac:dyDescent="0.25">
      <c r="A33" s="23">
        <f t="shared" si="0"/>
        <v>45077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11"/>
      <c r="AM33" s="11"/>
      <c r="AN33" s="10"/>
      <c r="AO33" s="11"/>
      <c r="AP33" s="12"/>
      <c r="AQ33" s="11"/>
      <c r="AR33" s="11"/>
      <c r="AS33" s="11"/>
      <c r="AT33" s="13"/>
      <c r="AU33" s="11"/>
      <c r="AV33" s="13"/>
      <c r="AW33" s="78"/>
    </row>
    <row r="34" spans="1:49" x14ac:dyDescent="0.25">
      <c r="A34" s="23">
        <f t="shared" si="0"/>
        <v>45107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11"/>
      <c r="AM34" s="11"/>
      <c r="AN34" s="10"/>
      <c r="AO34" s="11"/>
      <c r="AP34" s="12"/>
      <c r="AQ34" s="11"/>
      <c r="AR34" s="11"/>
      <c r="AS34" s="11"/>
      <c r="AT34" s="13"/>
      <c r="AU34" s="11"/>
      <c r="AV34" s="13"/>
      <c r="AW34" s="78"/>
    </row>
    <row r="35" spans="1:49" x14ac:dyDescent="0.25">
      <c r="A35" s="24">
        <f t="shared" si="0"/>
        <v>45138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15"/>
      <c r="AM35" s="15"/>
      <c r="AN35" s="14"/>
      <c r="AO35" s="15"/>
      <c r="AP35" s="16"/>
      <c r="AQ35" s="15"/>
      <c r="AR35" s="15"/>
      <c r="AS35" s="15"/>
      <c r="AT35" s="17"/>
      <c r="AU35" s="15"/>
      <c r="AV35" s="17"/>
      <c r="AW35" s="78"/>
    </row>
  </sheetData>
  <mergeCells count="13">
    <mergeCell ref="B1:Y1"/>
    <mergeCell ref="AB1:AV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V35"/>
  <sheetViews>
    <sheetView zoomScale="90" zoomScaleNormal="90" workbookViewId="0">
      <pane xSplit="1" ySplit="3" topLeftCell="W4" activePane="bottomRight" state="frozen"/>
      <selection pane="topRight" activeCell="B1" sqref="B1"/>
      <selection pane="bottomLeft" activeCell="A4" sqref="A4"/>
      <selection pane="bottomRight" activeCell="B4" sqref="B4:AV27"/>
    </sheetView>
  </sheetViews>
  <sheetFormatPr defaultRowHeight="15" x14ac:dyDescent="0.25"/>
  <cols>
    <col min="1" max="1" width="13.28515625" customWidth="1"/>
    <col min="2" max="3" width="10" customWidth="1"/>
    <col min="4" max="4" width="10.140625" customWidth="1"/>
    <col min="5" max="6" width="9.28515625" bestFit="1" customWidth="1"/>
    <col min="7" max="8" width="9.28515625" customWidth="1"/>
    <col min="9" max="11" width="9.28515625" bestFit="1" customWidth="1"/>
    <col min="12" max="12" width="9.28515625" customWidth="1"/>
    <col min="13" max="14" width="9.28515625" bestFit="1" customWidth="1"/>
    <col min="15" max="16" width="9.28515625" customWidth="1"/>
    <col min="17" max="19" width="9.28515625" bestFit="1" customWidth="1"/>
    <col min="20" max="20" width="10.5703125" bestFit="1" customWidth="1"/>
    <col min="21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30" width="9.28515625" bestFit="1" customWidth="1"/>
    <col min="31" max="34" width="9.28515625" customWidth="1"/>
    <col min="35" max="37" width="9.28515625" bestFit="1" customWidth="1"/>
    <col min="38" max="38" width="11.5703125" bestFit="1" customWidth="1"/>
    <col min="39" max="40" width="9.28515625" bestFit="1" customWidth="1"/>
    <col min="41" max="41" width="11.5703125" bestFit="1" customWidth="1"/>
    <col min="42" max="43" width="9.28515625" bestFit="1" customWidth="1"/>
    <col min="44" max="44" width="10.5703125" bestFit="1" customWidth="1"/>
    <col min="45" max="45" width="9.5703125" bestFit="1" customWidth="1"/>
    <col min="46" max="46" width="21.85546875" customWidth="1"/>
    <col min="47" max="47" width="19.140625" customWidth="1"/>
    <col min="48" max="48" width="20.85546875" customWidth="1"/>
  </cols>
  <sheetData>
    <row r="1" spans="1:48" ht="18.75" x14ac:dyDescent="0.3">
      <c r="A1" s="36"/>
      <c r="B1" s="120" t="s">
        <v>99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61"/>
      <c r="AA1" s="61"/>
      <c r="AB1" s="120" t="s">
        <v>62</v>
      </c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1"/>
    </row>
    <row r="2" spans="1:48" x14ac:dyDescent="0.25">
      <c r="A2" s="30"/>
      <c r="B2" s="122" t="s">
        <v>7</v>
      </c>
      <c r="C2" s="123"/>
      <c r="D2" s="123"/>
      <c r="E2" s="123"/>
      <c r="F2" s="122" t="s">
        <v>6</v>
      </c>
      <c r="G2" s="123"/>
      <c r="H2" s="123"/>
      <c r="I2" s="123"/>
      <c r="J2" s="124"/>
      <c r="K2" s="123" t="s">
        <v>5</v>
      </c>
      <c r="L2" s="123"/>
      <c r="M2" s="123"/>
      <c r="N2" s="122" t="s">
        <v>4</v>
      </c>
      <c r="O2" s="123"/>
      <c r="P2" s="123"/>
      <c r="Q2" s="123"/>
      <c r="R2" s="124"/>
      <c r="S2" s="123" t="s">
        <v>8</v>
      </c>
      <c r="T2" s="123"/>
      <c r="U2" s="123"/>
      <c r="V2" s="122" t="s">
        <v>9</v>
      </c>
      <c r="W2" s="123"/>
      <c r="X2" s="124"/>
      <c r="Y2" s="123" t="s">
        <v>10</v>
      </c>
      <c r="Z2" s="123"/>
      <c r="AA2" s="123"/>
      <c r="AB2" s="123"/>
      <c r="AC2" s="123"/>
      <c r="AD2" s="122" t="s">
        <v>11</v>
      </c>
      <c r="AE2" s="123"/>
      <c r="AF2" s="123"/>
      <c r="AG2" s="123"/>
      <c r="AH2" s="123"/>
      <c r="AI2" s="123"/>
      <c r="AJ2" s="124"/>
      <c r="AK2" s="123" t="s">
        <v>12</v>
      </c>
      <c r="AL2" s="123"/>
      <c r="AM2" s="123"/>
      <c r="AN2" s="122" t="s">
        <v>14</v>
      </c>
      <c r="AO2" s="123"/>
      <c r="AP2" s="124"/>
      <c r="AQ2" s="123" t="s">
        <v>15</v>
      </c>
      <c r="AR2" s="123"/>
      <c r="AS2" s="123"/>
      <c r="AT2" s="3" t="s">
        <v>16</v>
      </c>
      <c r="AU2" s="25" t="s">
        <v>17</v>
      </c>
      <c r="AV2" s="3" t="s">
        <v>18</v>
      </c>
    </row>
    <row r="3" spans="1:48" x14ac:dyDescent="0.25">
      <c r="A3" s="31"/>
      <c r="B3" s="26" t="s">
        <v>1</v>
      </c>
      <c r="C3" s="27" t="s">
        <v>134</v>
      </c>
      <c r="D3" s="27" t="s">
        <v>2</v>
      </c>
      <c r="E3" s="27" t="s">
        <v>3</v>
      </c>
      <c r="F3" s="26" t="s">
        <v>1</v>
      </c>
      <c r="G3" s="27" t="s">
        <v>134</v>
      </c>
      <c r="H3" s="27" t="s">
        <v>135</v>
      </c>
      <c r="I3" s="27" t="s">
        <v>2</v>
      </c>
      <c r="J3" s="28" t="s">
        <v>3</v>
      </c>
      <c r="K3" s="27" t="s">
        <v>1</v>
      </c>
      <c r="L3" s="27" t="s">
        <v>134</v>
      </c>
      <c r="M3" s="27" t="s">
        <v>2</v>
      </c>
      <c r="N3" s="26" t="s">
        <v>1</v>
      </c>
      <c r="O3" s="27" t="s">
        <v>134</v>
      </c>
      <c r="P3" s="27" t="s">
        <v>135</v>
      </c>
      <c r="Q3" s="27" t="s">
        <v>2</v>
      </c>
      <c r="R3" s="28" t="s">
        <v>3</v>
      </c>
      <c r="S3" s="27" t="s">
        <v>1</v>
      </c>
      <c r="T3" s="27" t="s">
        <v>2</v>
      </c>
      <c r="U3" s="27" t="s">
        <v>3</v>
      </c>
      <c r="V3" s="26" t="s">
        <v>1</v>
      </c>
      <c r="W3" s="27" t="s">
        <v>134</v>
      </c>
      <c r="X3" s="28" t="s">
        <v>2</v>
      </c>
      <c r="Y3" s="27" t="s">
        <v>1</v>
      </c>
      <c r="Z3" s="27" t="s">
        <v>134</v>
      </c>
      <c r="AA3" s="27" t="s">
        <v>135</v>
      </c>
      <c r="AB3" s="27" t="s">
        <v>2</v>
      </c>
      <c r="AC3" s="27" t="s">
        <v>3</v>
      </c>
      <c r="AD3" s="26" t="s">
        <v>1</v>
      </c>
      <c r="AE3" s="27" t="s">
        <v>136</v>
      </c>
      <c r="AF3" s="27" t="s">
        <v>134</v>
      </c>
      <c r="AG3" s="27" t="s">
        <v>135</v>
      </c>
      <c r="AH3" s="27" t="s">
        <v>137</v>
      </c>
      <c r="AI3" s="27" t="s">
        <v>2</v>
      </c>
      <c r="AJ3" s="28" t="s">
        <v>3</v>
      </c>
      <c r="AK3" s="27" t="s">
        <v>1</v>
      </c>
      <c r="AL3" s="27" t="s">
        <v>2</v>
      </c>
      <c r="AM3" s="27" t="s">
        <v>13</v>
      </c>
      <c r="AN3" s="26" t="s">
        <v>1</v>
      </c>
      <c r="AO3" s="27" t="s">
        <v>2</v>
      </c>
      <c r="AP3" s="28" t="s">
        <v>13</v>
      </c>
      <c r="AQ3" s="27" t="s">
        <v>1</v>
      </c>
      <c r="AR3" s="27" t="s">
        <v>2</v>
      </c>
      <c r="AS3" s="27" t="s">
        <v>13</v>
      </c>
      <c r="AT3" s="29" t="s">
        <v>19</v>
      </c>
      <c r="AU3" s="27" t="s">
        <v>19</v>
      </c>
      <c r="AV3" s="29" t="s">
        <v>19</v>
      </c>
    </row>
    <row r="4" spans="1:48" x14ac:dyDescent="0.25">
      <c r="A4" s="32">
        <f>RunInformation!AD5</f>
        <v>44196</v>
      </c>
      <c r="B4" s="6">
        <v>6483.4722157366896</v>
      </c>
      <c r="C4" s="7">
        <v>27.000000000000004</v>
      </c>
      <c r="D4" s="7">
        <v>53.738422287867714</v>
      </c>
      <c r="E4" s="7">
        <v>0</v>
      </c>
      <c r="F4" s="6">
        <v>6024.6298567721806</v>
      </c>
      <c r="G4" s="7">
        <v>54.738422287867699</v>
      </c>
      <c r="H4" s="7">
        <v>28.000000000000004</v>
      </c>
      <c r="I4" s="7">
        <v>79.933884297520592</v>
      </c>
      <c r="J4" s="8">
        <v>0</v>
      </c>
      <c r="K4" s="7">
        <v>9307.7206567066005</v>
      </c>
      <c r="L4" s="7">
        <v>3.5000000000000027</v>
      </c>
      <c r="M4" s="7">
        <v>4.6115702479338809</v>
      </c>
      <c r="N4" s="6">
        <v>7464.1816264691079</v>
      </c>
      <c r="O4" s="7">
        <v>20.111570247933859</v>
      </c>
      <c r="P4" s="7">
        <v>18.999999999999979</v>
      </c>
      <c r="Q4" s="7">
        <v>22.584492736980103</v>
      </c>
      <c r="R4" s="8">
        <v>0</v>
      </c>
      <c r="S4" s="7">
        <v>6753.0400000000045</v>
      </c>
      <c r="T4" s="71">
        <v>20.957217156993536</v>
      </c>
      <c r="U4" s="71">
        <v>0</v>
      </c>
      <c r="V4" s="6">
        <v>7623.6871851636579</v>
      </c>
      <c r="W4" s="7">
        <v>2.7999999999999994</v>
      </c>
      <c r="X4" s="8">
        <v>1.844628030000981</v>
      </c>
      <c r="Y4" s="7">
        <v>6037.4431109605039</v>
      </c>
      <c r="Z4" s="7">
        <v>13.044628030000982</v>
      </c>
      <c r="AA4" s="7">
        <v>14.000000000000002</v>
      </c>
      <c r="AB4" s="40">
        <v>21.520661157024769</v>
      </c>
      <c r="AC4" s="7">
        <v>0</v>
      </c>
      <c r="AD4" s="6">
        <v>3582.9436416697713</v>
      </c>
      <c r="AE4" s="7">
        <v>10193.814149986287</v>
      </c>
      <c r="AF4" s="7">
        <v>287.41176261153907</v>
      </c>
      <c r="AG4" s="7">
        <v>230.00000000000023</v>
      </c>
      <c r="AH4" s="7">
        <v>22.688884653054071</v>
      </c>
      <c r="AI4" s="7">
        <v>719.9999999998256</v>
      </c>
      <c r="AJ4" s="8">
        <v>0</v>
      </c>
      <c r="AK4" s="7">
        <v>1083.9637284995008</v>
      </c>
      <c r="AL4" s="37">
        <v>488775.01976393641</v>
      </c>
      <c r="AM4" s="7">
        <v>189.35481411697251</v>
      </c>
      <c r="AN4" s="6">
        <v>639.80540358246787</v>
      </c>
      <c r="AO4" s="40">
        <v>467959.98303244141</v>
      </c>
      <c r="AP4" s="8">
        <v>58.599464366855749</v>
      </c>
      <c r="AQ4" s="7">
        <v>446.50000000010533</v>
      </c>
      <c r="AR4" s="40">
        <v>270936.02000000019</v>
      </c>
      <c r="AS4" s="40">
        <v>16913.040423213519</v>
      </c>
      <c r="AT4" s="9">
        <v>235.82604000012947</v>
      </c>
      <c r="AU4" s="7">
        <v>98999.999999999985</v>
      </c>
      <c r="AV4" s="9">
        <v>128083.99999999999</v>
      </c>
    </row>
    <row r="5" spans="1:48" x14ac:dyDescent="0.25">
      <c r="A5" s="32">
        <f>EOMONTH(A4,1)</f>
        <v>44227</v>
      </c>
      <c r="B5" s="10">
        <v>6478.3656910012141</v>
      </c>
      <c r="C5" s="11">
        <v>26.000000000000007</v>
      </c>
      <c r="D5" s="11">
        <v>53.738422287867714</v>
      </c>
      <c r="E5" s="11">
        <v>0</v>
      </c>
      <c r="F5" s="10">
        <v>6024.2849594818754</v>
      </c>
      <c r="G5" s="11">
        <v>61.738422287867671</v>
      </c>
      <c r="H5" s="11">
        <v>33.999999999999972</v>
      </c>
      <c r="I5" s="11">
        <v>73.231404958677615</v>
      </c>
      <c r="J5" s="12">
        <v>0</v>
      </c>
      <c r="K5" s="11">
        <v>9306.7958348766224</v>
      </c>
      <c r="L5" s="11">
        <v>3.1999999999999975</v>
      </c>
      <c r="M5" s="11">
        <v>4.6115702479338809</v>
      </c>
      <c r="N5" s="10">
        <v>7464.4496992540389</v>
      </c>
      <c r="O5" s="11">
        <v>19.411570247933867</v>
      </c>
      <c r="P5" s="11">
        <v>17.999999999999982</v>
      </c>
      <c r="Q5" s="11">
        <v>17.545687047078104</v>
      </c>
      <c r="R5" s="12">
        <v>0</v>
      </c>
      <c r="S5" s="11">
        <v>6753.0400000000045</v>
      </c>
      <c r="T5" s="75">
        <v>21.520661157026105</v>
      </c>
      <c r="U5" s="75">
        <v>0</v>
      </c>
      <c r="V5" s="10">
        <v>7624.0878133325095</v>
      </c>
      <c r="W5" s="11">
        <v>2.5000000000000013</v>
      </c>
      <c r="X5" s="12">
        <v>1.844628030000981</v>
      </c>
      <c r="Y5" s="11">
        <v>6036.4301931613145</v>
      </c>
      <c r="Z5" s="11">
        <v>11.344628030000989</v>
      </c>
      <c r="AA5" s="11">
        <v>12.000000000000009</v>
      </c>
      <c r="AB5" s="41">
        <v>21.520661157024769</v>
      </c>
      <c r="AC5" s="11">
        <v>0</v>
      </c>
      <c r="AD5" s="10">
        <v>3577.7832471201473</v>
      </c>
      <c r="AE5" s="11">
        <v>9750.8226949795153</v>
      </c>
      <c r="AF5" s="11">
        <v>288.27272727272862</v>
      </c>
      <c r="AG5" s="11">
        <v>240.00000000000017</v>
      </c>
      <c r="AH5" s="11">
        <v>6.7034995055340714</v>
      </c>
      <c r="AI5" s="11">
        <v>759.99999999990598</v>
      </c>
      <c r="AJ5" s="12">
        <v>0</v>
      </c>
      <c r="AK5" s="11">
        <v>1087.5365980560098</v>
      </c>
      <c r="AL5" s="38">
        <v>490587.8036338496</v>
      </c>
      <c r="AM5" s="11">
        <v>191.11880639089645</v>
      </c>
      <c r="AN5" s="10">
        <v>641.79754691898881</v>
      </c>
      <c r="AO5" s="41">
        <v>406030.53175858594</v>
      </c>
      <c r="AP5" s="12">
        <v>51.37352221754621</v>
      </c>
      <c r="AQ5" s="11">
        <v>446.49999999999773</v>
      </c>
      <c r="AR5" s="41">
        <v>263835.56997100834</v>
      </c>
      <c r="AS5" s="41">
        <v>16564.142348601596</v>
      </c>
      <c r="AT5" s="13">
        <v>10791.324214868926</v>
      </c>
      <c r="AU5" s="11">
        <v>98995.999999999956</v>
      </c>
      <c r="AV5" s="13">
        <v>52366.269243362927</v>
      </c>
    </row>
    <row r="6" spans="1:48" x14ac:dyDescent="0.25">
      <c r="A6" s="32">
        <f t="shared" ref="A6:A35" si="0">EOMONTH(A5,1)</f>
        <v>44255</v>
      </c>
      <c r="B6" s="10">
        <v>6473.2171916675979</v>
      </c>
      <c r="C6" s="11">
        <v>24.000000000000025</v>
      </c>
      <c r="D6" s="11">
        <v>48.537929808396633</v>
      </c>
      <c r="E6" s="11">
        <v>0</v>
      </c>
      <c r="F6" s="10">
        <v>6024.0790428040118</v>
      </c>
      <c r="G6" s="11">
        <v>59.537929808396612</v>
      </c>
      <c r="H6" s="11">
        <v>35</v>
      </c>
      <c r="I6" s="11">
        <v>65.305785123966871</v>
      </c>
      <c r="J6" s="12">
        <v>0</v>
      </c>
      <c r="K6" s="11">
        <v>9305.8887758537621</v>
      </c>
      <c r="L6" s="11">
        <v>2.7999999999999985</v>
      </c>
      <c r="M6" s="11">
        <v>4.1652892561983439</v>
      </c>
      <c r="N6" s="10">
        <v>7464.5488620299402</v>
      </c>
      <c r="O6" s="11">
        <v>18.365289256198356</v>
      </c>
      <c r="P6" s="11">
        <v>17.000000000000014</v>
      </c>
      <c r="Q6" s="11">
        <v>17.548179106256075</v>
      </c>
      <c r="R6" s="12">
        <v>0</v>
      </c>
      <c r="S6" s="11">
        <v>6753.0372994301715</v>
      </c>
      <c r="T6" s="75">
        <v>21.520661157026112</v>
      </c>
      <c r="U6" s="75">
        <v>0</v>
      </c>
      <c r="V6" s="10">
        <v>7624.265274708654</v>
      </c>
      <c r="W6" s="11">
        <v>2</v>
      </c>
      <c r="X6" s="12">
        <v>1.6661156400008861</v>
      </c>
      <c r="Y6" s="11">
        <v>6035.8996034037709</v>
      </c>
      <c r="Z6" s="11">
        <v>14.666115640000886</v>
      </c>
      <c r="AA6" s="11">
        <v>15</v>
      </c>
      <c r="AB6" s="41">
        <v>19.438016528925601</v>
      </c>
      <c r="AC6" s="11">
        <v>0</v>
      </c>
      <c r="AD6" s="10">
        <v>3573.6119024621007</v>
      </c>
      <c r="AE6" s="11">
        <v>9402.1677045790584</v>
      </c>
      <c r="AF6" s="11">
        <v>310.4084628099186</v>
      </c>
      <c r="AG6" s="11">
        <v>275</v>
      </c>
      <c r="AH6" s="11">
        <v>6.9558530946641586</v>
      </c>
      <c r="AI6" s="11">
        <v>679.99999999974511</v>
      </c>
      <c r="AJ6" s="12">
        <v>0</v>
      </c>
      <c r="AK6" s="11">
        <v>1089.489862351222</v>
      </c>
      <c r="AL6" s="38">
        <v>566073.1883647783</v>
      </c>
      <c r="AM6" s="11">
        <v>223.70036255940553</v>
      </c>
      <c r="AN6" s="10">
        <v>641.79754691899575</v>
      </c>
      <c r="AO6" s="41">
        <v>546009.27432051522</v>
      </c>
      <c r="AP6" s="12">
        <v>68.875557964822519</v>
      </c>
      <c r="AQ6" s="11">
        <v>446.49999999999812</v>
      </c>
      <c r="AR6" s="41">
        <v>400573.47991900489</v>
      </c>
      <c r="AS6" s="41">
        <v>26034.62224504412</v>
      </c>
      <c r="AT6" s="13">
        <v>8541.4771637301328</v>
      </c>
      <c r="AU6" s="11">
        <v>104.9090909091004</v>
      </c>
      <c r="AV6" s="13">
        <v>140864.55017915659</v>
      </c>
    </row>
    <row r="7" spans="1:48" x14ac:dyDescent="0.25">
      <c r="A7" s="32">
        <f t="shared" si="0"/>
        <v>44286</v>
      </c>
      <c r="B7" s="10">
        <v>6470.4667754073635</v>
      </c>
      <c r="C7" s="11">
        <v>42.000000000000007</v>
      </c>
      <c r="D7" s="11">
        <v>53.738422287867714</v>
      </c>
      <c r="E7" s="11">
        <v>0</v>
      </c>
      <c r="F7" s="10">
        <v>6025.1385861263579</v>
      </c>
      <c r="G7" s="11">
        <v>92.73842228786765</v>
      </c>
      <c r="H7" s="11">
        <v>80.999999999999943</v>
      </c>
      <c r="I7" s="11">
        <v>49.190082644628063</v>
      </c>
      <c r="J7" s="12">
        <v>0</v>
      </c>
      <c r="K7" s="11">
        <v>9304.8015039434322</v>
      </c>
      <c r="L7" s="11">
        <v>2.9999999999999991</v>
      </c>
      <c r="M7" s="11">
        <v>4.6115702479338809</v>
      </c>
      <c r="N7" s="10">
        <v>7465.8885222459712</v>
      </c>
      <c r="O7" s="11">
        <v>26.611570247933894</v>
      </c>
      <c r="P7" s="11">
        <v>25.000000000000011</v>
      </c>
      <c r="Q7" s="11">
        <v>17.583741562405134</v>
      </c>
      <c r="R7" s="12">
        <v>17.583741562405134</v>
      </c>
      <c r="S7" s="11">
        <v>6753.0400000001937</v>
      </c>
      <c r="T7" s="75">
        <v>26.519861518290341</v>
      </c>
      <c r="U7" s="75">
        <v>26.519861518290341</v>
      </c>
      <c r="V7" s="10">
        <v>7625.3719286234427</v>
      </c>
      <c r="W7" s="11">
        <v>3.700000000000002</v>
      </c>
      <c r="X7" s="12">
        <v>1.844628030000981</v>
      </c>
      <c r="Y7" s="11">
        <v>6036.6881480576703</v>
      </c>
      <c r="Z7" s="11">
        <v>36.791628030000986</v>
      </c>
      <c r="AA7" s="11">
        <v>40.000000000000014</v>
      </c>
      <c r="AB7" s="41">
        <v>21.520661157024769</v>
      </c>
      <c r="AC7" s="11">
        <v>0</v>
      </c>
      <c r="AD7" s="10">
        <v>3569.6719785038417</v>
      </c>
      <c r="AE7" s="11">
        <v>9080.5945302380878</v>
      </c>
      <c r="AF7" s="11">
        <v>374.22360531994349</v>
      </c>
      <c r="AG7" s="11">
        <v>425.00000000000028</v>
      </c>
      <c r="AH7" s="11">
        <v>11.522634223051044</v>
      </c>
      <c r="AI7" s="11">
        <v>710.00000000021078</v>
      </c>
      <c r="AJ7" s="12">
        <v>0</v>
      </c>
      <c r="AK7" s="11">
        <v>1087.1227210467659</v>
      </c>
      <c r="AL7" s="38">
        <v>970614.5974254777</v>
      </c>
      <c r="AM7" s="11">
        <v>391.67158446635756</v>
      </c>
      <c r="AN7" s="10">
        <v>643.05459791104886</v>
      </c>
      <c r="AO7" s="41">
        <v>911687.02320363396</v>
      </c>
      <c r="AP7" s="12">
        <v>113.95452262558598</v>
      </c>
      <c r="AQ7" s="11">
        <v>446.69999999993462</v>
      </c>
      <c r="AR7" s="41">
        <v>648001.26349244406</v>
      </c>
      <c r="AS7" s="41">
        <v>41977.314135578104</v>
      </c>
      <c r="AT7" s="13">
        <v>14905.764747743877</v>
      </c>
      <c r="AU7" s="11">
        <v>97039.909090909059</v>
      </c>
      <c r="AV7" s="13">
        <v>150465.03287377313</v>
      </c>
    </row>
    <row r="8" spans="1:48" x14ac:dyDescent="0.25">
      <c r="A8" s="32">
        <f t="shared" si="0"/>
        <v>44316</v>
      </c>
      <c r="B8" s="10">
        <v>6469.9181176247876</v>
      </c>
      <c r="C8" s="11">
        <v>64.999999999999872</v>
      </c>
      <c r="D8" s="11">
        <v>66.738854746382046</v>
      </c>
      <c r="E8" s="11">
        <v>0</v>
      </c>
      <c r="F8" s="10">
        <v>6026.414098577322</v>
      </c>
      <c r="G8" s="11">
        <v>101.73885474638233</v>
      </c>
      <c r="H8" s="11">
        <v>100.00000000000016</v>
      </c>
      <c r="I8" s="11">
        <v>47.603305785123915</v>
      </c>
      <c r="J8" s="12">
        <v>0</v>
      </c>
      <c r="K8" s="11">
        <v>9305.8389866006055</v>
      </c>
      <c r="L8" s="11">
        <v>5.9999999999999742</v>
      </c>
      <c r="M8" s="11">
        <v>4.4628099173553686</v>
      </c>
      <c r="N8" s="10">
        <v>7466.5367479390952</v>
      </c>
      <c r="O8" s="11">
        <v>48.462809917355408</v>
      </c>
      <c r="P8" s="11">
        <v>50.000000000000021</v>
      </c>
      <c r="Q8" s="11">
        <v>43.61964153562046</v>
      </c>
      <c r="R8" s="12">
        <v>43.61964153562046</v>
      </c>
      <c r="S8" s="11">
        <v>6753.0369792800257</v>
      </c>
      <c r="T8" s="75">
        <v>63.520661157040145</v>
      </c>
      <c r="U8" s="75">
        <v>0</v>
      </c>
      <c r="V8" s="10">
        <v>7630.1217476489674</v>
      </c>
      <c r="W8" s="11">
        <v>10.000000000000014</v>
      </c>
      <c r="X8" s="12">
        <v>1.7851239000009493</v>
      </c>
      <c r="Y8" s="11">
        <v>6038.9886774399192</v>
      </c>
      <c r="Z8" s="11">
        <v>69.03412390000075</v>
      </c>
      <c r="AA8" s="11">
        <v>84.999999999999787</v>
      </c>
      <c r="AB8" s="41">
        <v>20.826446280991714</v>
      </c>
      <c r="AC8" s="11">
        <v>0</v>
      </c>
      <c r="AD8" s="10">
        <v>3567.9225084637687</v>
      </c>
      <c r="AE8" s="11">
        <v>8940.2143576728213</v>
      </c>
      <c r="AF8" s="11">
        <v>506.36341322315303</v>
      </c>
      <c r="AG8" s="11">
        <v>599.99999999999727</v>
      </c>
      <c r="AH8" s="11">
        <v>17.973996173621519</v>
      </c>
      <c r="AI8" s="11">
        <v>639.99999999966485</v>
      </c>
      <c r="AJ8" s="12">
        <v>0</v>
      </c>
      <c r="AK8" s="11">
        <v>1082.9406992313893</v>
      </c>
      <c r="AL8" s="38">
        <v>1030622.7697187351</v>
      </c>
      <c r="AM8" s="11">
        <v>412.37424305646726</v>
      </c>
      <c r="AN8" s="10">
        <v>642.99981670142893</v>
      </c>
      <c r="AO8" s="41">
        <v>1002925.9511105231</v>
      </c>
      <c r="AP8" s="12">
        <v>125.28002220858232</v>
      </c>
      <c r="AQ8" s="11">
        <v>448.69999999886124</v>
      </c>
      <c r="AR8" s="41">
        <v>712415.932670568</v>
      </c>
      <c r="AS8" s="41">
        <v>46897.953866547221</v>
      </c>
      <c r="AT8" s="13">
        <v>16606.456491620105</v>
      </c>
      <c r="AU8" s="11">
        <v>93393.909090909045</v>
      </c>
      <c r="AV8" s="13">
        <v>146101.17710349284</v>
      </c>
    </row>
    <row r="9" spans="1:48" x14ac:dyDescent="0.25">
      <c r="A9" s="32">
        <f t="shared" si="0"/>
        <v>44347</v>
      </c>
      <c r="B9" s="10">
        <v>6477.4520089470307</v>
      </c>
      <c r="C9" s="11">
        <v>104.99999999999986</v>
      </c>
      <c r="D9" s="11">
        <v>68.963483237928102</v>
      </c>
      <c r="E9" s="11">
        <v>0</v>
      </c>
      <c r="F9" s="10">
        <v>6025.8803854666749</v>
      </c>
      <c r="G9" s="11">
        <v>103.96348323792826</v>
      </c>
      <c r="H9" s="11">
        <v>140</v>
      </c>
      <c r="I9" s="11">
        <v>117.02479338830355</v>
      </c>
      <c r="J9" s="12">
        <v>0</v>
      </c>
      <c r="K9" s="11">
        <v>9313.6168080715925</v>
      </c>
      <c r="L9" s="11">
        <v>19.999999999999975</v>
      </c>
      <c r="M9" s="11">
        <v>7.685950413223134</v>
      </c>
      <c r="N9" s="10">
        <v>7473.6024868581708</v>
      </c>
      <c r="O9" s="11">
        <v>132.68595041322345</v>
      </c>
      <c r="P9" s="11">
        <v>145.00000000000028</v>
      </c>
      <c r="Q9" s="11">
        <v>84.097428000853597</v>
      </c>
      <c r="R9" s="12">
        <v>78.092308673138191</v>
      </c>
      <c r="S9" s="11">
        <v>6753.04</v>
      </c>
      <c r="T9" s="75">
        <v>118.94941647485021</v>
      </c>
      <c r="U9" s="75">
        <v>0</v>
      </c>
      <c r="V9" s="10">
        <v>7648.2306951906194</v>
      </c>
      <c r="W9" s="11">
        <v>40.000000000000014</v>
      </c>
      <c r="X9" s="12">
        <v>1.844628030000981</v>
      </c>
      <c r="Y9" s="11">
        <v>6042.8271140749057</v>
      </c>
      <c r="Z9" s="11">
        <v>102.88362803000088</v>
      </c>
      <c r="AA9" s="11">
        <v>159.99999999999991</v>
      </c>
      <c r="AB9" s="41">
        <v>21.520661157024769</v>
      </c>
      <c r="AC9" s="11">
        <v>0</v>
      </c>
      <c r="AD9" s="10">
        <v>3571.1632254604833</v>
      </c>
      <c r="AE9" s="11">
        <v>9201.4247511996418</v>
      </c>
      <c r="AF9" s="11">
        <v>932.99087102018007</v>
      </c>
      <c r="AG9" s="11">
        <v>1100.0000000000014</v>
      </c>
      <c r="AH9" s="11">
        <v>21.238915267495688</v>
      </c>
      <c r="AI9" s="11">
        <v>629.64473719114153</v>
      </c>
      <c r="AJ9" s="12">
        <v>0</v>
      </c>
      <c r="AK9" s="11">
        <v>1078.7156973635467</v>
      </c>
      <c r="AL9" s="38">
        <v>988231.18337330304</v>
      </c>
      <c r="AM9" s="11">
        <v>379.42137705303549</v>
      </c>
      <c r="AN9" s="10">
        <v>642.99981670214027</v>
      </c>
      <c r="AO9" s="41">
        <v>956228.87023040245</v>
      </c>
      <c r="AP9" s="12">
        <v>119.79871187643511</v>
      </c>
      <c r="AQ9" s="11">
        <v>448.69999999999379</v>
      </c>
      <c r="AR9" s="41">
        <v>692720.50328463432</v>
      </c>
      <c r="AS9" s="41">
        <v>46032.17032644651</v>
      </c>
      <c r="AT9" s="13">
        <v>20150.620359260851</v>
      </c>
      <c r="AU9" s="11">
        <v>97039.909090909059</v>
      </c>
      <c r="AV9" s="13">
        <v>156574.43095216548</v>
      </c>
    </row>
    <row r="10" spans="1:48" x14ac:dyDescent="0.25">
      <c r="A10" s="32">
        <f t="shared" si="0"/>
        <v>44377</v>
      </c>
      <c r="B10" s="10">
        <v>6499.9999999985457</v>
      </c>
      <c r="C10" s="11">
        <v>215.00000000000011</v>
      </c>
      <c r="D10" s="11">
        <v>67.590470575968425</v>
      </c>
      <c r="E10" s="11">
        <v>0</v>
      </c>
      <c r="F10" s="10">
        <v>6024.3122885654175</v>
      </c>
      <c r="G10" s="11">
        <v>87.59047057596834</v>
      </c>
      <c r="H10" s="11">
        <v>235.00000000000003</v>
      </c>
      <c r="I10" s="11">
        <v>137.75206611550618</v>
      </c>
      <c r="J10" s="12">
        <v>0</v>
      </c>
      <c r="K10" s="11">
        <v>9323.2208575118111</v>
      </c>
      <c r="L10" s="11">
        <v>31.999999999999975</v>
      </c>
      <c r="M10" s="11">
        <v>14.876033057851227</v>
      </c>
      <c r="N10" s="10">
        <v>7491.0335265648564</v>
      </c>
      <c r="O10" s="11">
        <v>177.87603305785146</v>
      </c>
      <c r="P10" s="11">
        <v>195.0000000000002</v>
      </c>
      <c r="Q10" s="11">
        <v>47.69650927664464</v>
      </c>
      <c r="R10" s="12">
        <v>0</v>
      </c>
      <c r="S10" s="11">
        <v>6753.034636044913</v>
      </c>
      <c r="T10" s="75">
        <v>82.520661157108719</v>
      </c>
      <c r="U10" s="75">
        <v>0</v>
      </c>
      <c r="V10" s="10">
        <v>7664.8337992711922</v>
      </c>
      <c r="W10" s="11">
        <v>50.000000000000021</v>
      </c>
      <c r="X10" s="12">
        <v>7.2303132991579169</v>
      </c>
      <c r="Y10" s="11">
        <v>6044.6423177114475</v>
      </c>
      <c r="Z10" s="11">
        <v>98.097313299157776</v>
      </c>
      <c r="AA10" s="11">
        <v>159.99999999999991</v>
      </c>
      <c r="AB10" s="41">
        <v>20.826446280991714</v>
      </c>
      <c r="AC10" s="11">
        <v>0</v>
      </c>
      <c r="AD10" s="10">
        <v>3578.3359249321575</v>
      </c>
      <c r="AE10" s="11">
        <v>9797.6497835498449</v>
      </c>
      <c r="AF10" s="11">
        <v>1338.5841735536069</v>
      </c>
      <c r="AG10" s="11">
        <v>1650.0000000000002</v>
      </c>
      <c r="AH10" s="11">
        <v>34.661137367680169</v>
      </c>
      <c r="AI10" s="11">
        <v>659.9999999997051</v>
      </c>
      <c r="AJ10" s="12">
        <v>0</v>
      </c>
      <c r="AK10" s="11">
        <v>1074.7506838734998</v>
      </c>
      <c r="AL10" s="38">
        <v>953079.63164496608</v>
      </c>
      <c r="AM10" s="11">
        <v>358.45900265168154</v>
      </c>
      <c r="AN10" s="10">
        <v>642.99981670213811</v>
      </c>
      <c r="AO10" s="41">
        <v>912867.716606842</v>
      </c>
      <c r="AP10" s="12">
        <v>114.42728544153628</v>
      </c>
      <c r="AQ10" s="11">
        <v>448.69999999998726</v>
      </c>
      <c r="AR10" s="41">
        <v>710044.92435312702</v>
      </c>
      <c r="AS10" s="41">
        <v>47264.649051973283</v>
      </c>
      <c r="AT10" s="13">
        <v>28221.513667382904</v>
      </c>
      <c r="AU10" s="11">
        <v>95907.90909090903</v>
      </c>
      <c r="AV10" s="13">
        <v>89371.052089849676</v>
      </c>
    </row>
    <row r="11" spans="1:48" x14ac:dyDescent="0.25">
      <c r="A11" s="32">
        <f t="shared" si="0"/>
        <v>44408</v>
      </c>
      <c r="B11" s="10">
        <v>6505.4999999998909</v>
      </c>
      <c r="C11" s="11">
        <v>134.99999999999972</v>
      </c>
      <c r="D11" s="11">
        <v>89.578717477884666</v>
      </c>
      <c r="E11" s="11">
        <v>0</v>
      </c>
      <c r="F11" s="10">
        <v>6024.8760531350026</v>
      </c>
      <c r="G11" s="11">
        <v>114.57871747788487</v>
      </c>
      <c r="H11" s="11">
        <v>159.99999999999991</v>
      </c>
      <c r="I11" s="11">
        <v>79.933884297520578</v>
      </c>
      <c r="J11" s="12">
        <v>0</v>
      </c>
      <c r="K11" s="11">
        <v>9322.4917282210063</v>
      </c>
      <c r="L11" s="11">
        <v>14.000000000000002</v>
      </c>
      <c r="M11" s="11">
        <v>15.371900826446268</v>
      </c>
      <c r="N11" s="10">
        <v>7488.038562181925</v>
      </c>
      <c r="O11" s="11">
        <v>76.37190082644625</v>
      </c>
      <c r="P11" s="11">
        <v>74.999999999999972</v>
      </c>
      <c r="Q11" s="11">
        <v>98.237090736341173</v>
      </c>
      <c r="R11" s="12">
        <v>0</v>
      </c>
      <c r="S11" s="11">
        <v>6753.0400000000018</v>
      </c>
      <c r="T11" s="75">
        <v>108.03973404696964</v>
      </c>
      <c r="U11" s="75">
        <v>0</v>
      </c>
      <c r="V11" s="10">
        <v>7659.9428689594251</v>
      </c>
      <c r="W11" s="11">
        <v>19.999999999999975</v>
      </c>
      <c r="X11" s="12">
        <v>32.424546659078025</v>
      </c>
      <c r="Y11" s="11">
        <v>6041.8231064333695</v>
      </c>
      <c r="Z11" s="11">
        <v>51.256546659078062</v>
      </c>
      <c r="AA11" s="11">
        <v>40.000000000000014</v>
      </c>
      <c r="AB11" s="41">
        <v>21.520661157024769</v>
      </c>
      <c r="AC11" s="11">
        <v>0</v>
      </c>
      <c r="AD11" s="10">
        <v>3577.1332494812377</v>
      </c>
      <c r="AE11" s="11">
        <v>9695.9396723751815</v>
      </c>
      <c r="AF11" s="11">
        <v>682.86827950151815</v>
      </c>
      <c r="AG11" s="11">
        <v>700.00000000000307</v>
      </c>
      <c r="AH11" s="11">
        <v>42.715196902996858</v>
      </c>
      <c r="AI11" s="11">
        <v>750.00000000029127</v>
      </c>
      <c r="AJ11" s="12">
        <v>0</v>
      </c>
      <c r="AK11" s="11">
        <v>1073.1847802367961</v>
      </c>
      <c r="AL11" s="38">
        <v>860494.49644348363</v>
      </c>
      <c r="AM11" s="11">
        <v>329.51048328710738</v>
      </c>
      <c r="AN11" s="10">
        <v>641.99704448085447</v>
      </c>
      <c r="AO11" s="41">
        <v>850605.50230854005</v>
      </c>
      <c r="AP11" s="12">
        <v>106.6469831913904</v>
      </c>
      <c r="AQ11" s="11">
        <v>447.99999999995981</v>
      </c>
      <c r="AR11" s="41">
        <v>703003.8375892808</v>
      </c>
      <c r="AS11" s="41">
        <v>46555.823069977479</v>
      </c>
      <c r="AT11" s="13">
        <v>32574.203118177909</v>
      </c>
      <c r="AU11" s="11">
        <v>98866.909090909045</v>
      </c>
      <c r="AV11" s="13">
        <v>50969.121311383555</v>
      </c>
    </row>
    <row r="12" spans="1:48" x14ac:dyDescent="0.25">
      <c r="A12" s="32">
        <f t="shared" si="0"/>
        <v>44439</v>
      </c>
      <c r="B12" s="10">
        <v>6501.1689814417896</v>
      </c>
      <c r="C12" s="11">
        <v>58</v>
      </c>
      <c r="D12" s="11">
        <v>89.578717477884666</v>
      </c>
      <c r="E12" s="11">
        <v>0</v>
      </c>
      <c r="F12" s="10">
        <v>6025.0433966409882</v>
      </c>
      <c r="G12" s="11">
        <v>98.57871747788468</v>
      </c>
      <c r="H12" s="11">
        <v>67.000000000000014</v>
      </c>
      <c r="I12" s="11">
        <v>79.933884297520578</v>
      </c>
      <c r="J12" s="12">
        <v>0</v>
      </c>
      <c r="K12" s="11">
        <v>9317.9019895970432</v>
      </c>
      <c r="L12" s="11">
        <v>7.0000000000000311</v>
      </c>
      <c r="M12" s="11">
        <v>15.371900826446268</v>
      </c>
      <c r="N12" s="10">
        <v>7481.6959100872464</v>
      </c>
      <c r="O12" s="11">
        <v>54.371900826446215</v>
      </c>
      <c r="P12" s="11">
        <v>45.999999999999986</v>
      </c>
      <c r="Q12" s="11">
        <v>101.11274516040247</v>
      </c>
      <c r="R12" s="12">
        <v>0</v>
      </c>
      <c r="S12" s="11">
        <v>6753.0400000000063</v>
      </c>
      <c r="T12" s="75">
        <v>104.9669421487817</v>
      </c>
      <c r="U12" s="75">
        <v>0</v>
      </c>
      <c r="V12" s="10">
        <v>7651.9413233327859</v>
      </c>
      <c r="W12" s="11">
        <v>14.000000000000002</v>
      </c>
      <c r="X12" s="12">
        <v>33.802723611897576</v>
      </c>
      <c r="Y12" s="11">
        <v>6039.8346814261977</v>
      </c>
      <c r="Z12" s="11">
        <v>51.075723611897565</v>
      </c>
      <c r="AA12" s="11">
        <v>31.999999999999986</v>
      </c>
      <c r="AB12" s="41">
        <v>21.520661157024769</v>
      </c>
      <c r="AC12" s="11">
        <v>0</v>
      </c>
      <c r="AD12" s="10">
        <v>3573.0119802495524</v>
      </c>
      <c r="AE12" s="11">
        <v>9352.7173377164163</v>
      </c>
      <c r="AF12" s="11">
        <v>471.26248760332703</v>
      </c>
      <c r="AG12" s="11">
        <v>364.99999999999994</v>
      </c>
      <c r="AH12" s="11">
        <v>41.942609773813274</v>
      </c>
      <c r="AI12" s="11">
        <v>799.99999999998624</v>
      </c>
      <c r="AJ12" s="12">
        <v>0</v>
      </c>
      <c r="AK12" s="11">
        <v>1073.0044451265421</v>
      </c>
      <c r="AL12" s="38">
        <v>803849.25732177752</v>
      </c>
      <c r="AM12" s="11">
        <v>305.24888344870595</v>
      </c>
      <c r="AN12" s="10">
        <v>641.99704448068405</v>
      </c>
      <c r="AO12" s="41">
        <v>768979.93312128517</v>
      </c>
      <c r="AP12" s="12">
        <v>96.40576301914578</v>
      </c>
      <c r="AQ12" s="11">
        <v>447.50000000179955</v>
      </c>
      <c r="AR12" s="41">
        <v>618013.01913666679</v>
      </c>
      <c r="AS12" s="41">
        <v>40493.056808370675</v>
      </c>
      <c r="AT12" s="13">
        <v>33698.704216587888</v>
      </c>
      <c r="AU12" s="11">
        <v>98866.909090909045</v>
      </c>
      <c r="AV12" s="13">
        <v>50969.121311383555</v>
      </c>
    </row>
    <row r="13" spans="1:48" x14ac:dyDescent="0.25">
      <c r="A13" s="32">
        <f t="shared" si="0"/>
        <v>44469</v>
      </c>
      <c r="B13" s="10">
        <v>6497.2523413375529</v>
      </c>
      <c r="C13" s="11">
        <v>38.000000000000014</v>
      </c>
      <c r="D13" s="11">
        <v>65.435412994367539</v>
      </c>
      <c r="E13" s="11">
        <v>45.411345272390271</v>
      </c>
      <c r="F13" s="10">
        <v>6024.1795863719972</v>
      </c>
      <c r="G13" s="11">
        <v>72.435412994367539</v>
      </c>
      <c r="H13" s="11">
        <v>45.000000000000014</v>
      </c>
      <c r="I13" s="11">
        <v>94.713934039461606</v>
      </c>
      <c r="J13" s="12">
        <v>0</v>
      </c>
      <c r="K13" s="11">
        <v>9311.4999999999891</v>
      </c>
      <c r="L13" s="11">
        <v>5.0000000000000018</v>
      </c>
      <c r="M13" s="11">
        <v>15.869676958695585</v>
      </c>
      <c r="N13" s="10">
        <v>7476.045204473693</v>
      </c>
      <c r="O13" s="11">
        <v>35.869676958695564</v>
      </c>
      <c r="P13" s="11">
        <v>24.999999999999982</v>
      </c>
      <c r="Q13" s="11">
        <v>75.867000634786891</v>
      </c>
      <c r="R13" s="12">
        <v>0</v>
      </c>
      <c r="S13" s="11">
        <v>6753.0362407513312</v>
      </c>
      <c r="T13" s="75">
        <v>85.74380165289422</v>
      </c>
      <c r="U13" s="75">
        <v>33.936354875098473</v>
      </c>
      <c r="V13" s="10">
        <v>7645.9471581018543</v>
      </c>
      <c r="W13" s="11">
        <v>12.000000000000007</v>
      </c>
      <c r="X13" s="12">
        <v>25.892574791089313</v>
      </c>
      <c r="Y13" s="11">
        <v>6039.4182920671337</v>
      </c>
      <c r="Z13" s="11">
        <v>44.757574791089276</v>
      </c>
      <c r="AA13" s="11">
        <v>31.999999999999975</v>
      </c>
      <c r="AB13" s="41">
        <v>20.826446280991714</v>
      </c>
      <c r="AC13" s="11">
        <v>0</v>
      </c>
      <c r="AD13" s="10">
        <v>3570.6725689936361</v>
      </c>
      <c r="AE13" s="11">
        <v>9161.549731060848</v>
      </c>
      <c r="AF13" s="11">
        <v>431.48718197334779</v>
      </c>
      <c r="AG13" s="11">
        <v>315.00000000000023</v>
      </c>
      <c r="AH13" s="11">
        <v>37.948192192306401</v>
      </c>
      <c r="AI13" s="11">
        <v>600.00000000039506</v>
      </c>
      <c r="AJ13" s="12">
        <v>0</v>
      </c>
      <c r="AK13" s="11">
        <v>1071.619438750467</v>
      </c>
      <c r="AL13" s="38">
        <v>706696.72254263423</v>
      </c>
      <c r="AM13" s="11">
        <v>265.55728846673759</v>
      </c>
      <c r="AN13" s="10">
        <v>639.00563909797654</v>
      </c>
      <c r="AO13" s="41">
        <v>754472.05962191487</v>
      </c>
      <c r="AP13" s="12">
        <v>93.523212776541399</v>
      </c>
      <c r="AQ13" s="11">
        <v>447.49999999998084</v>
      </c>
      <c r="AR13" s="41">
        <v>529932.8865322402</v>
      </c>
      <c r="AS13" s="41">
        <v>34482.366233178574</v>
      </c>
      <c r="AT13" s="13">
        <v>30006.690843145676</v>
      </c>
      <c r="AU13" s="11">
        <v>95907.90909090903</v>
      </c>
      <c r="AV13" s="13">
        <v>120790.81363586745</v>
      </c>
    </row>
    <row r="14" spans="1:48" x14ac:dyDescent="0.25">
      <c r="A14" s="32">
        <f t="shared" si="0"/>
        <v>44500</v>
      </c>
      <c r="B14" s="10">
        <v>6493.3555135434208</v>
      </c>
      <c r="C14" s="11">
        <v>40.689999999999984</v>
      </c>
      <c r="D14" s="11">
        <v>67.311944291936939</v>
      </c>
      <c r="E14" s="11">
        <v>0</v>
      </c>
      <c r="F14" s="10">
        <v>6023.5614560146087</v>
      </c>
      <c r="G14" s="11">
        <v>76.861944291936936</v>
      </c>
      <c r="H14" s="11">
        <v>50.239999999999995</v>
      </c>
      <c r="I14" s="11">
        <v>93.354738744303248</v>
      </c>
      <c r="J14" s="12">
        <v>0</v>
      </c>
      <c r="K14" s="11">
        <v>9309.9999999999909</v>
      </c>
      <c r="L14" s="11">
        <v>5.2899999999999991</v>
      </c>
      <c r="M14" s="11">
        <v>7.700179999997272</v>
      </c>
      <c r="N14" s="10">
        <v>7474.5740542850781</v>
      </c>
      <c r="O14" s="11">
        <v>31.890179999997258</v>
      </c>
      <c r="P14" s="11">
        <v>29.479999999999986</v>
      </c>
      <c r="Q14" s="11">
        <v>41.784377274050733</v>
      </c>
      <c r="R14" s="12">
        <v>0</v>
      </c>
      <c r="S14" s="11">
        <v>6753.04</v>
      </c>
      <c r="T14" s="75">
        <v>51.51954804349424</v>
      </c>
      <c r="U14" s="75">
        <v>0</v>
      </c>
      <c r="V14" s="10">
        <v>7644.9499893011734</v>
      </c>
      <c r="W14" s="11">
        <v>10.959999999999987</v>
      </c>
      <c r="X14" s="12">
        <v>13.030114613746992</v>
      </c>
      <c r="Y14" s="11">
        <v>6039.9857002421413</v>
      </c>
      <c r="Z14" s="11">
        <v>38.341114613746996</v>
      </c>
      <c r="AA14" s="11">
        <v>36.96</v>
      </c>
      <c r="AB14" s="41">
        <v>21.520661157024769</v>
      </c>
      <c r="AC14" s="11">
        <v>0</v>
      </c>
      <c r="AD14" s="10">
        <v>3570.211935673653</v>
      </c>
      <c r="AE14" s="11">
        <v>9124.220623103849</v>
      </c>
      <c r="AF14" s="11">
        <v>465.73794794482205</v>
      </c>
      <c r="AG14" s="11">
        <v>415.91999999999985</v>
      </c>
      <c r="AH14" s="11">
        <v>26.053383607235862</v>
      </c>
      <c r="AI14" s="11">
        <v>480.00000000015393</v>
      </c>
      <c r="AJ14" s="12">
        <v>0</v>
      </c>
      <c r="AK14" s="11">
        <v>1070.569147654335</v>
      </c>
      <c r="AL14" s="38">
        <v>578318.28872168262</v>
      </c>
      <c r="AM14" s="11">
        <v>216.14985077321217</v>
      </c>
      <c r="AN14" s="10">
        <v>632.99732935378393</v>
      </c>
      <c r="AO14" s="41">
        <v>709739.31178788852</v>
      </c>
      <c r="AP14" s="12">
        <v>85.378787514997484</v>
      </c>
      <c r="AQ14" s="11">
        <v>447.49999999999972</v>
      </c>
      <c r="AR14" s="41">
        <v>471654.67232909927</v>
      </c>
      <c r="AS14" s="41">
        <v>31049.430972709804</v>
      </c>
      <c r="AT14" s="13">
        <v>25067.672495058017</v>
      </c>
      <c r="AU14" s="11">
        <v>98866.909090909045</v>
      </c>
      <c r="AV14" s="13">
        <v>145228.40594943683</v>
      </c>
    </row>
    <row r="15" spans="1:48" x14ac:dyDescent="0.25">
      <c r="A15" s="32">
        <f t="shared" si="0"/>
        <v>44530</v>
      </c>
      <c r="B15" s="10">
        <v>6489.7567590010585</v>
      </c>
      <c r="C15" s="11">
        <v>41.260000000000005</v>
      </c>
      <c r="D15" s="11">
        <v>65.140591250261551</v>
      </c>
      <c r="E15" s="11">
        <v>0</v>
      </c>
      <c r="F15" s="10">
        <v>6022.9386759778026</v>
      </c>
      <c r="G15" s="11">
        <v>72.090591250261539</v>
      </c>
      <c r="H15" s="11">
        <v>48.209999999999994</v>
      </c>
      <c r="I15" s="11">
        <v>92.335245466799478</v>
      </c>
      <c r="J15" s="12">
        <v>0</v>
      </c>
      <c r="K15" s="11">
        <v>9308.4999999999891</v>
      </c>
      <c r="L15" s="11">
        <v>4.5599999999999987</v>
      </c>
      <c r="M15" s="11">
        <v>6.9183200000020237</v>
      </c>
      <c r="N15" s="10">
        <v>7476.7782116844601</v>
      </c>
      <c r="O15" s="11">
        <v>30.088320000002021</v>
      </c>
      <c r="P15" s="11">
        <v>27.73</v>
      </c>
      <c r="Q15" s="11">
        <v>14.322250639497321</v>
      </c>
      <c r="R15" s="12">
        <v>0</v>
      </c>
      <c r="S15" s="11">
        <v>6753.0390355238069</v>
      </c>
      <c r="T15" s="75">
        <v>21.520661157024783</v>
      </c>
      <c r="U15" s="75">
        <v>0</v>
      </c>
      <c r="V15" s="10">
        <v>7645.9520923855407</v>
      </c>
      <c r="W15" s="11">
        <v>8.1100000000000172</v>
      </c>
      <c r="X15" s="12">
        <v>5.7145479000058614</v>
      </c>
      <c r="Y15" s="11">
        <v>6040.1699320348816</v>
      </c>
      <c r="Z15" s="11">
        <v>23.642547900005834</v>
      </c>
      <c r="AA15" s="11">
        <v>26.039999999999992</v>
      </c>
      <c r="AB15" s="41">
        <v>20.826446280991714</v>
      </c>
      <c r="AC15" s="11">
        <v>0</v>
      </c>
      <c r="AD15" s="10">
        <v>3569.4451771152712</v>
      </c>
      <c r="AE15" s="11">
        <v>9062.3121344988776</v>
      </c>
      <c r="AF15" s="11">
        <v>458.41635290481588</v>
      </c>
      <c r="AG15" s="11">
        <v>432.88999999999993</v>
      </c>
      <c r="AH15" s="11">
        <v>25.27751906197977</v>
      </c>
      <c r="AI15" s="11">
        <v>500.00000000019423</v>
      </c>
      <c r="AJ15" s="12">
        <v>0</v>
      </c>
      <c r="AK15" s="11">
        <v>1068.8753517524631</v>
      </c>
      <c r="AL15" s="38">
        <v>655868.95379520126</v>
      </c>
      <c r="AM15" s="11">
        <v>255.23914810818707</v>
      </c>
      <c r="AN15" s="10">
        <v>634.99500232453511</v>
      </c>
      <c r="AO15" s="41">
        <v>575705.20011329197</v>
      </c>
      <c r="AP15" s="12">
        <v>68.607611118557131</v>
      </c>
      <c r="AQ15" s="11">
        <v>447.49999999999352</v>
      </c>
      <c r="AR15" s="41">
        <v>339580.46125487477</v>
      </c>
      <c r="AS15" s="41">
        <v>22005.268511323437</v>
      </c>
      <c r="AT15" s="13">
        <v>15024.044352385054</v>
      </c>
      <c r="AU15" s="11">
        <v>95907.90909090903</v>
      </c>
      <c r="AV15" s="13">
        <v>142610.09248726867</v>
      </c>
    </row>
    <row r="16" spans="1:48" x14ac:dyDescent="0.25">
      <c r="A16" s="32">
        <f t="shared" si="0"/>
        <v>44561</v>
      </c>
      <c r="B16" s="10">
        <v>6484.2221635483602</v>
      </c>
      <c r="C16" s="11">
        <v>32.799999999999976</v>
      </c>
      <c r="D16" s="11">
        <v>67.311944291936939</v>
      </c>
      <c r="E16" s="11">
        <v>0</v>
      </c>
      <c r="F16" s="10">
        <v>6022.2494797799436</v>
      </c>
      <c r="G16" s="11">
        <v>67.611944291936965</v>
      </c>
      <c r="H16" s="11">
        <v>33.100000000000009</v>
      </c>
      <c r="I16" s="11">
        <v>91.854568217288772</v>
      </c>
      <c r="J16" s="12">
        <v>0</v>
      </c>
      <c r="K16" s="11">
        <v>9308.4999999999891</v>
      </c>
      <c r="L16" s="11">
        <v>4.6999999999999975</v>
      </c>
      <c r="M16" s="11">
        <v>4.6999999999999975</v>
      </c>
      <c r="N16" s="10">
        <v>7478.3413151923733</v>
      </c>
      <c r="O16" s="11">
        <v>26.499999999999975</v>
      </c>
      <c r="P16" s="11">
        <v>26.499999999999975</v>
      </c>
      <c r="Q16" s="11">
        <v>15.146454243523722</v>
      </c>
      <c r="R16" s="12">
        <v>0</v>
      </c>
      <c r="S16" s="11">
        <v>6753.0400000000072</v>
      </c>
      <c r="T16" s="75">
        <v>21.520375575624165</v>
      </c>
      <c r="U16" s="75">
        <v>0</v>
      </c>
      <c r="V16" s="10">
        <v>7647.4511600909491</v>
      </c>
      <c r="W16" s="11">
        <v>6.9000000000000021</v>
      </c>
      <c r="X16" s="12">
        <v>3.3462262548365453</v>
      </c>
      <c r="Y16" s="11">
        <v>6040.1175998791987</v>
      </c>
      <c r="Z16" s="11">
        <v>21.499226254836529</v>
      </c>
      <c r="AA16" s="11">
        <v>25.099999999999987</v>
      </c>
      <c r="AB16" s="41">
        <v>21.520661157024769</v>
      </c>
      <c r="AC16" s="11">
        <v>0</v>
      </c>
      <c r="AD16" s="10">
        <v>3566.9882420556578</v>
      </c>
      <c r="AE16" s="11">
        <v>8865.8543935660946</v>
      </c>
      <c r="AF16" s="11">
        <v>407.84260494993805</v>
      </c>
      <c r="AG16" s="11">
        <v>364.00000000000028</v>
      </c>
      <c r="AH16" s="11">
        <v>20.016960365435395</v>
      </c>
      <c r="AI16" s="11">
        <v>600.00000000039506</v>
      </c>
      <c r="AJ16" s="12">
        <v>0</v>
      </c>
      <c r="AK16" s="11">
        <v>1069.6597713272486</v>
      </c>
      <c r="AL16" s="38">
        <v>552708.44168545736</v>
      </c>
      <c r="AM16" s="11">
        <v>207.86392167183087</v>
      </c>
      <c r="AN16" s="10">
        <v>639.50562092495261</v>
      </c>
      <c r="AO16" s="41">
        <v>412989.25433192129</v>
      </c>
      <c r="AP16" s="12">
        <v>50.911633228109693</v>
      </c>
      <c r="AQ16" s="11">
        <v>446.50000000010533</v>
      </c>
      <c r="AR16" s="41">
        <v>238707.4493455911</v>
      </c>
      <c r="AS16" s="41">
        <v>14800.169638187741</v>
      </c>
      <c r="AT16" s="13">
        <v>10158.528330038682</v>
      </c>
      <c r="AU16" s="11">
        <v>99100.90909090903</v>
      </c>
      <c r="AV16" s="13">
        <v>105080.93286285858</v>
      </c>
    </row>
    <row r="17" spans="1:48" x14ac:dyDescent="0.25">
      <c r="A17" s="32">
        <f t="shared" si="0"/>
        <v>44592</v>
      </c>
      <c r="B17" s="10">
        <v>6477.5819753729156</v>
      </c>
      <c r="C17" s="11">
        <v>31.100000000000019</v>
      </c>
      <c r="D17" s="11">
        <v>67.311944291936939</v>
      </c>
      <c r="E17" s="11">
        <v>0</v>
      </c>
      <c r="F17" s="10">
        <v>6022.4981735737038</v>
      </c>
      <c r="G17" s="11">
        <v>76.311944291936882</v>
      </c>
      <c r="H17" s="11">
        <v>40.099999999999973</v>
      </c>
      <c r="I17" s="11">
        <v>65.331404958677609</v>
      </c>
      <c r="J17" s="12">
        <v>0</v>
      </c>
      <c r="K17" s="11">
        <v>9308.2993220707776</v>
      </c>
      <c r="L17" s="11">
        <v>4.2999999999999989</v>
      </c>
      <c r="M17" s="11">
        <v>4.6115702479338809</v>
      </c>
      <c r="N17" s="10">
        <v>7478.737719339495</v>
      </c>
      <c r="O17" s="11">
        <v>25.211570247933867</v>
      </c>
      <c r="P17" s="11">
        <v>24.899999999999984</v>
      </c>
      <c r="Q17" s="11">
        <v>22.187008890148146</v>
      </c>
      <c r="R17" s="12">
        <v>0</v>
      </c>
      <c r="S17" s="11">
        <v>6753.0399999999763</v>
      </c>
      <c r="T17" s="75">
        <v>28.261983000096791</v>
      </c>
      <c r="U17" s="75">
        <v>0</v>
      </c>
      <c r="V17" s="10">
        <v>7647.4505752761806</v>
      </c>
      <c r="W17" s="11">
        <v>5.6999999999999993</v>
      </c>
      <c r="X17" s="12">
        <v>5.6239177558473941</v>
      </c>
      <c r="Y17" s="11">
        <v>6040.058534525062</v>
      </c>
      <c r="Z17" s="11">
        <v>21.423917755847398</v>
      </c>
      <c r="AA17" s="11">
        <v>21.5</v>
      </c>
      <c r="AB17" s="41">
        <v>21.520661157024769</v>
      </c>
      <c r="AC17" s="11">
        <v>0</v>
      </c>
      <c r="AD17" s="10">
        <v>3562.8735461220872</v>
      </c>
      <c r="AE17" s="11">
        <v>8543.3898762600329</v>
      </c>
      <c r="AF17" s="11">
        <v>377.61404911579916</v>
      </c>
      <c r="AG17" s="11">
        <v>355.09999999999991</v>
      </c>
      <c r="AH17" s="11">
        <v>5.8757284089057595</v>
      </c>
      <c r="AI17" s="11">
        <v>719.9999999998256</v>
      </c>
      <c r="AJ17" s="12">
        <v>0</v>
      </c>
      <c r="AK17" s="11">
        <v>1073.1072730005028</v>
      </c>
      <c r="AL17" s="38">
        <v>481605.17954624601</v>
      </c>
      <c r="AM17" s="11">
        <v>184.26969081812359</v>
      </c>
      <c r="AN17" s="10">
        <v>641.7975469189879</v>
      </c>
      <c r="AO17" s="41">
        <v>389057.29688416427</v>
      </c>
      <c r="AP17" s="12">
        <v>49.218296764892195</v>
      </c>
      <c r="AQ17" s="11">
        <v>446.49999999999773</v>
      </c>
      <c r="AR17" s="41">
        <v>262623.69749967294</v>
      </c>
      <c r="AS17" s="41">
        <v>16491.089055706456</v>
      </c>
      <c r="AT17" s="13">
        <v>11010.885882251821</v>
      </c>
      <c r="AU17" s="11">
        <v>88313.583333333445</v>
      </c>
      <c r="AV17" s="13">
        <v>47143.323506943314</v>
      </c>
    </row>
    <row r="18" spans="1:48" x14ac:dyDescent="0.25">
      <c r="A18" s="32">
        <f t="shared" si="0"/>
        <v>44620</v>
      </c>
      <c r="B18" s="10">
        <v>6470.5691188132159</v>
      </c>
      <c r="C18" s="11">
        <v>28.499999999999979</v>
      </c>
      <c r="D18" s="11">
        <v>60.797885166910774</v>
      </c>
      <c r="E18" s="11">
        <v>0</v>
      </c>
      <c r="F18" s="10">
        <v>6022.8894064315982</v>
      </c>
      <c r="G18" s="11">
        <v>75.897885166910811</v>
      </c>
      <c r="H18" s="11">
        <v>43.600000000000023</v>
      </c>
      <c r="I18" s="11">
        <v>59.105785123966875</v>
      </c>
      <c r="J18" s="12">
        <v>0</v>
      </c>
      <c r="K18" s="11">
        <v>9307.9999999999891</v>
      </c>
      <c r="L18" s="11">
        <v>3.9000000000000021</v>
      </c>
      <c r="M18" s="11">
        <v>4.3630097520659774</v>
      </c>
      <c r="N18" s="10">
        <v>7479.1413426064164</v>
      </c>
      <c r="O18" s="11">
        <v>23.26300975206599</v>
      </c>
      <c r="P18" s="11">
        <v>22.800000000000018</v>
      </c>
      <c r="Q18" s="11">
        <v>20.141567949259766</v>
      </c>
      <c r="R18" s="12">
        <v>0</v>
      </c>
      <c r="S18" s="11">
        <v>6753.0372994301715</v>
      </c>
      <c r="T18" s="75">
        <v>26.01405000001786</v>
      </c>
      <c r="U18" s="75">
        <v>0</v>
      </c>
      <c r="V18" s="10">
        <v>7647.4505809814473</v>
      </c>
      <c r="W18" s="11">
        <v>5.2</v>
      </c>
      <c r="X18" s="12">
        <v>5.1028811812754107</v>
      </c>
      <c r="Y18" s="11">
        <v>6040.9097892970804</v>
      </c>
      <c r="Z18" s="11">
        <v>29.499881181275423</v>
      </c>
      <c r="AA18" s="11">
        <v>29.900000000000013</v>
      </c>
      <c r="AB18" s="41">
        <v>19.438016528925601</v>
      </c>
      <c r="AC18" s="11">
        <v>0</v>
      </c>
      <c r="AD18" s="10">
        <v>3559.9263607578469</v>
      </c>
      <c r="AE18" s="11">
        <v>8317.4614294413586</v>
      </c>
      <c r="AF18" s="11">
        <v>402.10685165291068</v>
      </c>
      <c r="AG18" s="11">
        <v>399.30000000000041</v>
      </c>
      <c r="AH18" s="11">
        <v>6.1095689605222097</v>
      </c>
      <c r="AI18" s="11">
        <v>639.99999999966474</v>
      </c>
      <c r="AJ18" s="12">
        <v>0</v>
      </c>
      <c r="AK18" s="11">
        <v>1074.7521634047725</v>
      </c>
      <c r="AL18" s="38">
        <v>564506.0600387624</v>
      </c>
      <c r="AM18" s="11">
        <v>216.61819983062</v>
      </c>
      <c r="AN18" s="10">
        <v>641.79754691899575</v>
      </c>
      <c r="AO18" s="41">
        <v>544442.14599444834</v>
      </c>
      <c r="AP18" s="12">
        <v>68.683411149494319</v>
      </c>
      <c r="AQ18" s="11">
        <v>446.49999999999812</v>
      </c>
      <c r="AR18" s="41">
        <v>401055.81447634666</v>
      </c>
      <c r="AS18" s="41">
        <v>26046.953032567049</v>
      </c>
      <c r="AT18" s="13">
        <v>8715.2631542758991</v>
      </c>
      <c r="AU18" s="11">
        <v>15558.583333333316</v>
      </c>
      <c r="AV18" s="13">
        <v>123170.41305332363</v>
      </c>
    </row>
    <row r="19" spans="1:48" x14ac:dyDescent="0.25">
      <c r="A19" s="32">
        <f t="shared" si="0"/>
        <v>44651</v>
      </c>
      <c r="B19" s="10">
        <v>6467.0199724010008</v>
      </c>
      <c r="C19" s="11">
        <v>53.099999999999987</v>
      </c>
      <c r="D19" s="11">
        <v>67.311944291936939</v>
      </c>
      <c r="E19" s="11">
        <v>0</v>
      </c>
      <c r="F19" s="10">
        <v>6024.3903405018291</v>
      </c>
      <c r="G19" s="11">
        <v>109.11194429193692</v>
      </c>
      <c r="H19" s="11">
        <v>94.899999999999991</v>
      </c>
      <c r="I19" s="11">
        <v>49.190082644628063</v>
      </c>
      <c r="J19" s="12">
        <v>0</v>
      </c>
      <c r="K19" s="11">
        <v>9306.4999999999909</v>
      </c>
      <c r="L19" s="11">
        <v>4.4999999999999982</v>
      </c>
      <c r="M19" s="11">
        <v>6.7891699999973962</v>
      </c>
      <c r="N19" s="10">
        <v>7482.1998921017275</v>
      </c>
      <c r="O19" s="11">
        <v>39.589169999997381</v>
      </c>
      <c r="P19" s="11">
        <v>37.299999999999983</v>
      </c>
      <c r="Q19" s="11">
        <v>16.783741562405073</v>
      </c>
      <c r="R19" s="12">
        <v>0</v>
      </c>
      <c r="S19" s="11">
        <v>6753.0400000001937</v>
      </c>
      <c r="T19" s="75">
        <v>26.519861518290341</v>
      </c>
      <c r="U19" s="75">
        <v>0</v>
      </c>
      <c r="V19" s="10">
        <v>7647.9471459102188</v>
      </c>
      <c r="W19" s="11">
        <v>9.2999999999999883</v>
      </c>
      <c r="X19" s="12">
        <v>7.93875081569833</v>
      </c>
      <c r="Y19" s="11">
        <v>6046.0116117409343</v>
      </c>
      <c r="Z19" s="11">
        <v>85.389750815698548</v>
      </c>
      <c r="AA19" s="11">
        <v>96.000000000000199</v>
      </c>
      <c r="AB19" s="41">
        <v>21.520661157024769</v>
      </c>
      <c r="AC19" s="11">
        <v>0</v>
      </c>
      <c r="AD19" s="10">
        <v>3557.9842211904725</v>
      </c>
      <c r="AE19" s="11">
        <v>8170.7858017345661</v>
      </c>
      <c r="AF19" s="11">
        <v>526.86360531994421</v>
      </c>
      <c r="AG19" s="11">
        <v>652.70000000000141</v>
      </c>
      <c r="AH19" s="11">
        <v>10.273279767701876</v>
      </c>
      <c r="AI19" s="11">
        <v>675.00000000034333</v>
      </c>
      <c r="AJ19" s="12">
        <v>0</v>
      </c>
      <c r="AK19" s="11">
        <v>1072.196727085495</v>
      </c>
      <c r="AL19" s="38">
        <v>940344.11883565364</v>
      </c>
      <c r="AM19" s="11">
        <v>359.83392606018839</v>
      </c>
      <c r="AN19" s="10">
        <v>643.05459791104886</v>
      </c>
      <c r="AO19" s="41">
        <v>881416.54461380991</v>
      </c>
      <c r="AP19" s="12">
        <v>110.30925817582254</v>
      </c>
      <c r="AQ19" s="11">
        <v>446.69999999993462</v>
      </c>
      <c r="AR19" s="41">
        <v>644555.90437560517</v>
      </c>
      <c r="AS19" s="41">
        <v>41747.631282925235</v>
      </c>
      <c r="AT19" s="13">
        <v>15209.039350236353</v>
      </c>
      <c r="AU19" s="11">
        <v>88313.583333333241</v>
      </c>
      <c r="AV19" s="13">
        <v>131973.2391583639</v>
      </c>
    </row>
    <row r="20" spans="1:48" x14ac:dyDescent="0.25">
      <c r="A20" s="32">
        <f t="shared" si="0"/>
        <v>44681</v>
      </c>
      <c r="B20" s="10">
        <v>6465.0000000000064</v>
      </c>
      <c r="C20" s="11">
        <v>82.400000000000063</v>
      </c>
      <c r="D20" s="11">
        <v>89.659175295939036</v>
      </c>
      <c r="E20" s="11">
        <v>0</v>
      </c>
      <c r="F20" s="10">
        <v>6026.4693981327691</v>
      </c>
      <c r="G20" s="11">
        <v>132.55917529593876</v>
      </c>
      <c r="H20" s="11">
        <v>125.2999999999998</v>
      </c>
      <c r="I20" s="11">
        <v>47.603305785123915</v>
      </c>
      <c r="J20" s="12">
        <v>0</v>
      </c>
      <c r="K20" s="11">
        <v>9305.9999999999909</v>
      </c>
      <c r="L20" s="11">
        <v>8.9999999999999911</v>
      </c>
      <c r="M20" s="11">
        <v>9.7515299999998959</v>
      </c>
      <c r="N20" s="10">
        <v>7487.0852230487235</v>
      </c>
      <c r="O20" s="11">
        <v>78.851529999999912</v>
      </c>
      <c r="P20" s="11">
        <v>78.099999999999994</v>
      </c>
      <c r="Q20" s="11">
        <v>41.41964153562067</v>
      </c>
      <c r="R20" s="12">
        <v>0</v>
      </c>
      <c r="S20" s="11">
        <v>6753.0369792800257</v>
      </c>
      <c r="T20" s="75">
        <v>63.520661157040145</v>
      </c>
      <c r="U20" s="75">
        <v>0</v>
      </c>
      <c r="V20" s="10">
        <v>7655.9550386220417</v>
      </c>
      <c r="W20" s="11">
        <v>22.900000000000023</v>
      </c>
      <c r="X20" s="12">
        <v>3.0005024544361523</v>
      </c>
      <c r="Y20" s="11">
        <v>6051.9827700057494</v>
      </c>
      <c r="Z20" s="11">
        <v>114.52150245443617</v>
      </c>
      <c r="AA20" s="11">
        <v>152.40000000000006</v>
      </c>
      <c r="AB20" s="41">
        <v>20.826446280991714</v>
      </c>
      <c r="AC20" s="11">
        <v>0</v>
      </c>
      <c r="AD20" s="10">
        <v>3559.4895015229131</v>
      </c>
      <c r="AE20" s="11">
        <v>8284.3241895448155</v>
      </c>
      <c r="AF20" s="11">
        <v>739.05941322315721</v>
      </c>
      <c r="AG20" s="11">
        <v>945.30000000000109</v>
      </c>
      <c r="AH20" s="11">
        <v>16.437957143710673</v>
      </c>
      <c r="AI20" s="11">
        <v>600.00000000039506</v>
      </c>
      <c r="AJ20" s="12">
        <v>0</v>
      </c>
      <c r="AK20" s="11">
        <v>1068.0568303307184</v>
      </c>
      <c r="AL20" s="38">
        <v>966132.94409401657</v>
      </c>
      <c r="AM20" s="11">
        <v>364.17762904438825</v>
      </c>
      <c r="AN20" s="10">
        <v>642.99981670142893</v>
      </c>
      <c r="AO20" s="41">
        <v>938436.12548580451</v>
      </c>
      <c r="AP20" s="12">
        <v>117.53301571537664</v>
      </c>
      <c r="AQ20" s="11">
        <v>448.69999999886124</v>
      </c>
      <c r="AR20" s="41">
        <v>712375.9906262015</v>
      </c>
      <c r="AS20" s="41">
        <v>46895.252604002999</v>
      </c>
      <c r="AT20" s="13">
        <v>16944.333586592176</v>
      </c>
      <c r="AU20" s="11">
        <v>46639.583333333292</v>
      </c>
      <c r="AV20" s="13">
        <v>127971.61928071654</v>
      </c>
    </row>
    <row r="21" spans="1:48" x14ac:dyDescent="0.25">
      <c r="A21" s="32">
        <f t="shared" si="0"/>
        <v>44712</v>
      </c>
      <c r="B21" s="10">
        <v>6480.00000000001</v>
      </c>
      <c r="C21" s="11">
        <v>168.79999999999978</v>
      </c>
      <c r="D21" s="11">
        <v>99.848187500154609</v>
      </c>
      <c r="E21" s="11">
        <v>2.9152791587279636</v>
      </c>
      <c r="F21" s="10">
        <v>6029.5192938475357</v>
      </c>
      <c r="G21" s="11">
        <v>177.24818750015481</v>
      </c>
      <c r="H21" s="11">
        <v>246.19999999999996</v>
      </c>
      <c r="I21" s="11">
        <v>49.190082644628035</v>
      </c>
      <c r="J21" s="12">
        <v>0</v>
      </c>
      <c r="K21" s="11">
        <v>9315.4999999999891</v>
      </c>
      <c r="L21" s="11">
        <v>26.899999999999977</v>
      </c>
      <c r="M21" s="11">
        <v>11.635520000004487</v>
      </c>
      <c r="N21" s="10">
        <v>7494.3843021535849</v>
      </c>
      <c r="O21" s="11">
        <v>183.6355200000047</v>
      </c>
      <c r="P21" s="11">
        <v>198.90000000000018</v>
      </c>
      <c r="Q21" s="11">
        <v>125.59577268278106</v>
      </c>
      <c r="R21" s="12">
        <v>0</v>
      </c>
      <c r="S21" s="11">
        <v>6753.0400000000018</v>
      </c>
      <c r="T21" s="75">
        <v>173.04776115677825</v>
      </c>
      <c r="U21" s="75">
        <v>38.849366489823581</v>
      </c>
      <c r="V21" s="10">
        <v>7662.9500075681681</v>
      </c>
      <c r="W21" s="11">
        <v>68.900000000000105</v>
      </c>
      <c r="X21" s="12">
        <v>50.210022200979566</v>
      </c>
      <c r="Y21" s="11">
        <v>6064.0219158049185</v>
      </c>
      <c r="Z21" s="11">
        <v>212.60302220097978</v>
      </c>
      <c r="AA21" s="11">
        <v>266.40000000000032</v>
      </c>
      <c r="AB21" s="41">
        <v>21.520661157024769</v>
      </c>
      <c r="AC21" s="11">
        <v>0</v>
      </c>
      <c r="AD21" s="10">
        <v>3572.9589824325967</v>
      </c>
      <c r="AE21" s="11">
        <v>9348.357544333634</v>
      </c>
      <c r="AF21" s="11">
        <v>1769.7845049584307</v>
      </c>
      <c r="AG21" s="11">
        <v>2213.1999999999998</v>
      </c>
      <c r="AH21" s="11">
        <v>20.628479656623821</v>
      </c>
      <c r="AI21" s="11">
        <v>600.00000000039506</v>
      </c>
      <c r="AJ21" s="12">
        <v>0</v>
      </c>
      <c r="AK21" s="11">
        <v>1063.769415491829</v>
      </c>
      <c r="AL21" s="38">
        <v>942823.31487393321</v>
      </c>
      <c r="AM21" s="11">
        <v>353.1073957476147</v>
      </c>
      <c r="AN21" s="10">
        <v>642.99981670214027</v>
      </c>
      <c r="AO21" s="41">
        <v>910821.00173103285</v>
      </c>
      <c r="AP21" s="12">
        <v>114.32054926610962</v>
      </c>
      <c r="AQ21" s="11">
        <v>448.69999999999379</v>
      </c>
      <c r="AR21" s="41">
        <v>700819.88450793584</v>
      </c>
      <c r="AS21" s="41">
        <v>46586.972988812318</v>
      </c>
      <c r="AT21" s="13">
        <v>20560.60746712505</v>
      </c>
      <c r="AU21" s="11">
        <v>62036.583333333299</v>
      </c>
      <c r="AV21" s="13">
        <v>137575.50698707023</v>
      </c>
    </row>
    <row r="22" spans="1:48" x14ac:dyDescent="0.25">
      <c r="A22" s="32">
        <f t="shared" si="0"/>
        <v>44742</v>
      </c>
      <c r="B22" s="10">
        <v>6499.9999999987012</v>
      </c>
      <c r="C22" s="11">
        <v>278.00000000000006</v>
      </c>
      <c r="D22" s="11">
        <v>143.82527000022023</v>
      </c>
      <c r="E22" s="11">
        <v>41.607063657534901</v>
      </c>
      <c r="F22" s="10">
        <v>6025.9561658597404</v>
      </c>
      <c r="G22" s="11">
        <v>225.72527000022015</v>
      </c>
      <c r="H22" s="11">
        <v>359.89999999999992</v>
      </c>
      <c r="I22" s="11">
        <v>355.570247933529</v>
      </c>
      <c r="J22" s="12">
        <v>73.491215047112931</v>
      </c>
      <c r="K22" s="11">
        <v>9327.9999999999891</v>
      </c>
      <c r="L22" s="11">
        <v>42.100000000000023</v>
      </c>
      <c r="M22" s="11">
        <v>18.895980000002886</v>
      </c>
      <c r="N22" s="10">
        <v>7516.3999999999905</v>
      </c>
      <c r="O22" s="11">
        <v>238.49598000000267</v>
      </c>
      <c r="P22" s="11">
        <v>261.69999999999982</v>
      </c>
      <c r="Q22" s="11">
        <v>50.468553558754188</v>
      </c>
      <c r="R22" s="12">
        <v>0</v>
      </c>
      <c r="S22" s="11">
        <v>6753.0346360449112</v>
      </c>
      <c r="T22" s="75">
        <v>99.992705439219463</v>
      </c>
      <c r="U22" s="75">
        <v>0</v>
      </c>
      <c r="V22" s="10">
        <v>7664.792800790512</v>
      </c>
      <c r="W22" s="11">
        <v>67.699999999999875</v>
      </c>
      <c r="X22" s="12">
        <v>62.136150850563645</v>
      </c>
      <c r="Y22" s="11">
        <v>6070.364217763994</v>
      </c>
      <c r="Z22" s="11">
        <v>179.75215085056354</v>
      </c>
      <c r="AA22" s="11">
        <v>212.39999999999981</v>
      </c>
      <c r="AB22" s="41">
        <v>35.739759952101181</v>
      </c>
      <c r="AC22" s="11">
        <v>0</v>
      </c>
      <c r="AD22" s="10">
        <v>3590.2703929827749</v>
      </c>
      <c r="AE22" s="11">
        <v>10845.001138299056</v>
      </c>
      <c r="AF22" s="11">
        <v>2282.9517133248478</v>
      </c>
      <c r="AG22" s="11">
        <v>2594.4999999999982</v>
      </c>
      <c r="AH22" s="11">
        <v>36.576628736034188</v>
      </c>
      <c r="AI22" s="11">
        <v>630.00000000005002</v>
      </c>
      <c r="AJ22" s="12">
        <v>0</v>
      </c>
      <c r="AK22" s="11">
        <v>1059.7002607400668</v>
      </c>
      <c r="AL22" s="38">
        <v>912073.79077129299</v>
      </c>
      <c r="AM22" s="11">
        <v>334.8811962286195</v>
      </c>
      <c r="AN22" s="10">
        <v>642.99981670213811</v>
      </c>
      <c r="AO22" s="41">
        <v>871861.87573316868</v>
      </c>
      <c r="AP22" s="12">
        <v>109.47642816763739</v>
      </c>
      <c r="AQ22" s="11">
        <v>448.69999999998726</v>
      </c>
      <c r="AR22" s="41">
        <v>717985.94995244255</v>
      </c>
      <c r="AS22" s="41">
        <v>47808.604450908162</v>
      </c>
      <c r="AT22" s="13">
        <v>28795.71220627418</v>
      </c>
      <c r="AU22" s="11">
        <v>59838.583333333278</v>
      </c>
      <c r="AV22" s="13">
        <v>75953.511374436508</v>
      </c>
    </row>
    <row r="23" spans="1:48" x14ac:dyDescent="0.25">
      <c r="A23" s="32">
        <f t="shared" si="0"/>
        <v>44773</v>
      </c>
      <c r="B23" s="10">
        <v>6505.4999999998909</v>
      </c>
      <c r="C23" s="11">
        <v>163.49999999999977</v>
      </c>
      <c r="D23" s="11">
        <v>118.07871748026544</v>
      </c>
      <c r="E23" s="11">
        <v>17.303239880742851</v>
      </c>
      <c r="F23" s="10">
        <v>6026.5769711248104</v>
      </c>
      <c r="G23" s="11">
        <v>138.97871748026571</v>
      </c>
      <c r="H23" s="11">
        <v>184.40000000000006</v>
      </c>
      <c r="I23" s="11">
        <v>101.59732659077967</v>
      </c>
      <c r="J23" s="12">
        <v>0</v>
      </c>
      <c r="K23" s="11">
        <v>9326.4999999999909</v>
      </c>
      <c r="L23" s="11">
        <v>15.700000000000024</v>
      </c>
      <c r="M23" s="11">
        <v>18.662049999996764</v>
      </c>
      <c r="N23" s="10">
        <v>7516.3999999999924</v>
      </c>
      <c r="O23" s="11">
        <v>101.16204999999675</v>
      </c>
      <c r="P23" s="11">
        <v>98.2</v>
      </c>
      <c r="Q23" s="11">
        <v>99.574452552615938</v>
      </c>
      <c r="R23" s="12">
        <v>0</v>
      </c>
      <c r="S23" s="11">
        <v>6753.0400000000018</v>
      </c>
      <c r="T23" s="75">
        <v>111.57709586324374</v>
      </c>
      <c r="U23" s="75">
        <v>0</v>
      </c>
      <c r="V23" s="10">
        <v>7659.9256538324062</v>
      </c>
      <c r="W23" s="11">
        <v>24.200000000000014</v>
      </c>
      <c r="X23" s="12">
        <v>36.558275034182401</v>
      </c>
      <c r="Y23" s="11">
        <v>6067.2639389854348</v>
      </c>
      <c r="Z23" s="11">
        <v>58.523275034182397</v>
      </c>
      <c r="AA23" s="11">
        <v>48.300000000000011</v>
      </c>
      <c r="AB23" s="41">
        <v>38.643354631261566</v>
      </c>
      <c r="AC23" s="11">
        <v>0</v>
      </c>
      <c r="AD23" s="10">
        <v>3591.3830216927977</v>
      </c>
      <c r="AE23" s="11">
        <v>10946.17094531652</v>
      </c>
      <c r="AF23" s="11">
        <v>866.3027770852857</v>
      </c>
      <c r="AG23" s="11">
        <v>897.80000000000064</v>
      </c>
      <c r="AH23" s="11">
        <v>47.039388131807854</v>
      </c>
      <c r="AI23" s="11">
        <v>710.00000000021078</v>
      </c>
      <c r="AJ23" s="12">
        <v>0</v>
      </c>
      <c r="AK23" s="11">
        <v>1058.2527661616684</v>
      </c>
      <c r="AL23" s="38">
        <v>805686.50468542392</v>
      </c>
      <c r="AM23" s="11">
        <v>295.25142281817529</v>
      </c>
      <c r="AN23" s="10">
        <v>641.99704448085447</v>
      </c>
      <c r="AO23" s="41">
        <v>795797.51055048022</v>
      </c>
      <c r="AP23" s="12">
        <v>100.00940176478733</v>
      </c>
      <c r="AQ23" s="11">
        <v>447.99999999995981</v>
      </c>
      <c r="AR23" s="41">
        <v>694673.56119747285</v>
      </c>
      <c r="AS23" s="41">
        <v>45987.733102519684</v>
      </c>
      <c r="AT23" s="13">
        <v>33236.962035238495</v>
      </c>
      <c r="AU23" s="11">
        <v>62042.583333333292</v>
      </c>
      <c r="AV23" s="13">
        <v>40740.731702707541</v>
      </c>
    </row>
    <row r="24" spans="1:48" x14ac:dyDescent="0.25">
      <c r="A24" s="32">
        <f t="shared" si="0"/>
        <v>44804</v>
      </c>
      <c r="B24" s="10">
        <v>6501.4542210636082</v>
      </c>
      <c r="C24" s="11">
        <v>70.700000000000273</v>
      </c>
      <c r="D24" s="11">
        <v>100.09537790946152</v>
      </c>
      <c r="E24" s="11">
        <v>0</v>
      </c>
      <c r="F24" s="10">
        <v>6026.5359089913372</v>
      </c>
      <c r="G24" s="11">
        <v>109.79537790946114</v>
      </c>
      <c r="H24" s="11">
        <v>80.399999999999878</v>
      </c>
      <c r="I24" s="11">
        <v>99.001279195047971</v>
      </c>
      <c r="J24" s="12">
        <v>0</v>
      </c>
      <c r="K24" s="11">
        <v>9319.9999999999891</v>
      </c>
      <c r="L24" s="11">
        <v>9.0000000000000213</v>
      </c>
      <c r="M24" s="11">
        <v>21.284350000001513</v>
      </c>
      <c r="N24" s="10">
        <v>7510.8225830085921</v>
      </c>
      <c r="O24" s="11">
        <v>71.584350000001507</v>
      </c>
      <c r="P24" s="11">
        <v>59.300000000000011</v>
      </c>
      <c r="Q24" s="11">
        <v>119.87816393052751</v>
      </c>
      <c r="R24" s="12">
        <v>0</v>
      </c>
      <c r="S24" s="11">
        <v>6753.0400000000063</v>
      </c>
      <c r="T24" s="75">
        <v>128.83236091890672</v>
      </c>
      <c r="U24" s="75">
        <v>0</v>
      </c>
      <c r="V24" s="10">
        <v>7651.9228860769863</v>
      </c>
      <c r="W24" s="11">
        <v>17.199999999999985</v>
      </c>
      <c r="X24" s="12">
        <v>37.002772367919725</v>
      </c>
      <c r="Y24" s="11">
        <v>6064.0405416238409</v>
      </c>
      <c r="Z24" s="11">
        <v>47.866772367919758</v>
      </c>
      <c r="AA24" s="11">
        <v>29.700000000000024</v>
      </c>
      <c r="AB24" s="41">
        <v>38.643354631261566</v>
      </c>
      <c r="AC24" s="11">
        <v>0</v>
      </c>
      <c r="AD24" s="10">
        <v>3589.0979752627827</v>
      </c>
      <c r="AE24" s="11">
        <v>10739.045171435098</v>
      </c>
      <c r="AF24" s="11">
        <v>583.1999947452166</v>
      </c>
      <c r="AG24" s="11">
        <v>445.10000000000014</v>
      </c>
      <c r="AH24" s="11">
        <v>46.895825161806179</v>
      </c>
      <c r="AI24" s="11">
        <v>759.99999999990598</v>
      </c>
      <c r="AJ24" s="12">
        <v>0</v>
      </c>
      <c r="AK24" s="11">
        <v>1058.1652166273045</v>
      </c>
      <c r="AL24" s="38">
        <v>759222.21869652532</v>
      </c>
      <c r="AM24" s="11">
        <v>276.19423498218157</v>
      </c>
      <c r="AN24" s="10">
        <v>641.99704448068405</v>
      </c>
      <c r="AO24" s="41">
        <v>724352.89449603297</v>
      </c>
      <c r="AP24" s="12">
        <v>90.993875174691254</v>
      </c>
      <c r="AQ24" s="11">
        <v>447.50000000179955</v>
      </c>
      <c r="AR24" s="41">
        <v>619826.69587766635</v>
      </c>
      <c r="AS24" s="41">
        <v>40615.7941107851</v>
      </c>
      <c r="AT24" s="13">
        <v>34384.34237730984</v>
      </c>
      <c r="AU24" s="11">
        <v>62042.583333333292</v>
      </c>
      <c r="AV24" s="13">
        <v>40740.731702707541</v>
      </c>
    </row>
    <row r="25" spans="1:48" x14ac:dyDescent="0.25">
      <c r="A25" s="32">
        <f t="shared" si="0"/>
        <v>44834</v>
      </c>
      <c r="B25" s="10">
        <v>6498.1115586081387</v>
      </c>
      <c r="C25" s="11">
        <v>43.90000000000002</v>
      </c>
      <c r="D25" s="11">
        <v>67.208507147662303</v>
      </c>
      <c r="E25" s="11">
        <v>0</v>
      </c>
      <c r="F25" s="10">
        <v>6025.633969142119</v>
      </c>
      <c r="G25" s="11">
        <v>73.408507147662263</v>
      </c>
      <c r="H25" s="11">
        <v>50.099999999999987</v>
      </c>
      <c r="I25" s="11">
        <v>97.459466246330479</v>
      </c>
      <c r="J25" s="12">
        <v>0</v>
      </c>
      <c r="K25" s="11">
        <v>9311.4999999999891</v>
      </c>
      <c r="L25" s="11">
        <v>7.3000000000000194</v>
      </c>
      <c r="M25" s="11">
        <v>21.938319999997965</v>
      </c>
      <c r="N25" s="10">
        <v>7502.644398290985</v>
      </c>
      <c r="O25" s="11">
        <v>52.138319999997947</v>
      </c>
      <c r="P25" s="11">
        <v>37.5</v>
      </c>
      <c r="Q25" s="11">
        <v>120.90076796025397</v>
      </c>
      <c r="R25" s="12">
        <v>0</v>
      </c>
      <c r="S25" s="11">
        <v>6753.036240751333</v>
      </c>
      <c r="T25" s="75">
        <v>128.87756897836127</v>
      </c>
      <c r="U25" s="75">
        <v>80.955680708900232</v>
      </c>
      <c r="V25" s="10">
        <v>7645.9275858492438</v>
      </c>
      <c r="W25" s="11">
        <v>17.79999999999999</v>
      </c>
      <c r="X25" s="12">
        <v>31.692574748272133</v>
      </c>
      <c r="Y25" s="11">
        <v>6063.0000364255666</v>
      </c>
      <c r="Z25" s="11">
        <v>53.385574748272177</v>
      </c>
      <c r="AA25" s="11">
        <v>41.000000000000028</v>
      </c>
      <c r="AB25" s="41">
        <v>37.893597383036962</v>
      </c>
      <c r="AC25" s="11">
        <v>0</v>
      </c>
      <c r="AD25" s="10">
        <v>3588.4092117372711</v>
      </c>
      <c r="AE25" s="11">
        <v>10677.11085173828</v>
      </c>
      <c r="AF25" s="11">
        <v>541.10763260772887</v>
      </c>
      <c r="AG25" s="11">
        <v>385.8</v>
      </c>
      <c r="AH25" s="11">
        <v>42.996696292039111</v>
      </c>
      <c r="AI25" s="11">
        <v>564.99999999846113</v>
      </c>
      <c r="AJ25" s="12">
        <v>0</v>
      </c>
      <c r="AK25" s="11">
        <v>1056.6329274764805</v>
      </c>
      <c r="AL25" s="38">
        <v>678696.96509765054</v>
      </c>
      <c r="AM25" s="11">
        <v>244.58303732832928</v>
      </c>
      <c r="AN25" s="10">
        <v>640.00753110685321</v>
      </c>
      <c r="AO25" s="41">
        <v>699712.75541499548</v>
      </c>
      <c r="AP25" s="12">
        <v>87.27687045526126</v>
      </c>
      <c r="AQ25" s="11">
        <v>447.49999999998084</v>
      </c>
      <c r="AR25" s="41">
        <v>526640.02247683425</v>
      </c>
      <c r="AS25" s="41">
        <v>34260.2462194666</v>
      </c>
      <c r="AT25" s="13">
        <v>30617.210825956161</v>
      </c>
      <c r="AU25" s="11">
        <v>59842.583333333278</v>
      </c>
      <c r="AV25" s="13">
        <v>104763.69924192967</v>
      </c>
    </row>
    <row r="26" spans="1:48" x14ac:dyDescent="0.25">
      <c r="A26" s="32">
        <f t="shared" si="0"/>
        <v>44865</v>
      </c>
      <c r="B26" s="10">
        <v>6494.5625028879258</v>
      </c>
      <c r="C26" s="11">
        <v>44.700000000000024</v>
      </c>
      <c r="D26" s="11">
        <v>69.142282011361601</v>
      </c>
      <c r="E26" s="11">
        <v>0</v>
      </c>
      <c r="F26" s="10">
        <v>6024.9888376251656</v>
      </c>
      <c r="G26" s="11">
        <v>78.342282011361561</v>
      </c>
      <c r="H26" s="11">
        <v>53.899999999999984</v>
      </c>
      <c r="I26" s="11">
        <v>96.090558491850516</v>
      </c>
      <c r="J26" s="12">
        <v>0</v>
      </c>
      <c r="K26" s="11">
        <v>9309.9999999999909</v>
      </c>
      <c r="L26" s="11">
        <v>6.700000000000002</v>
      </c>
      <c r="M26" s="11">
        <v>9.1101799999972588</v>
      </c>
      <c r="N26" s="10">
        <v>7496.4999999999573</v>
      </c>
      <c r="O26" s="11">
        <v>40.310179999997246</v>
      </c>
      <c r="P26" s="11">
        <v>37.899999999999984</v>
      </c>
      <c r="Q26" s="11">
        <v>90.176078694347808</v>
      </c>
      <c r="R26" s="12">
        <v>0</v>
      </c>
      <c r="S26" s="11">
        <v>6753.0399999999981</v>
      </c>
      <c r="T26" s="75">
        <v>98.701249463791768</v>
      </c>
      <c r="U26" s="75">
        <v>0</v>
      </c>
      <c r="V26" s="10">
        <v>7644.9301824461309</v>
      </c>
      <c r="W26" s="11">
        <v>14.000000000000002</v>
      </c>
      <c r="X26" s="12">
        <v>16.070114613788167</v>
      </c>
      <c r="Y26" s="11">
        <v>6063.8594613695896</v>
      </c>
      <c r="Z26" s="11">
        <v>43.872114613788192</v>
      </c>
      <c r="AA26" s="11">
        <v>43.300000000000018</v>
      </c>
      <c r="AB26" s="41">
        <v>21.520661157024769</v>
      </c>
      <c r="AC26" s="11">
        <v>0</v>
      </c>
      <c r="AD26" s="10">
        <v>3587.246445371788</v>
      </c>
      <c r="AE26" s="11">
        <v>10573.077005932502</v>
      </c>
      <c r="AF26" s="11">
        <v>557.30546911266686</v>
      </c>
      <c r="AG26" s="11">
        <v>473.89999999999981</v>
      </c>
      <c r="AH26" s="11">
        <v>29.662020010577667</v>
      </c>
      <c r="AI26" s="11">
        <v>639.99999999966485</v>
      </c>
      <c r="AJ26" s="12">
        <v>0</v>
      </c>
      <c r="AK26" s="11">
        <v>1058.5839999083732</v>
      </c>
      <c r="AL26" s="38">
        <v>495237.38402063522</v>
      </c>
      <c r="AM26" s="11">
        <v>181.97546907719095</v>
      </c>
      <c r="AN26" s="10">
        <v>632.99732935379745</v>
      </c>
      <c r="AO26" s="41">
        <v>653309.36857458006</v>
      </c>
      <c r="AP26" s="12">
        <v>79.101410126757912</v>
      </c>
      <c r="AQ26" s="11">
        <v>447.49999999999972</v>
      </c>
      <c r="AR26" s="41">
        <v>469582.16551761614</v>
      </c>
      <c r="AS26" s="41">
        <v>30929.212601825828</v>
      </c>
      <c r="AT26" s="13">
        <v>25577.702576708212</v>
      </c>
      <c r="AU26" s="11">
        <v>62036.583333333299</v>
      </c>
      <c r="AV26" s="13">
        <v>127171.29530518707</v>
      </c>
    </row>
    <row r="27" spans="1:48" x14ac:dyDescent="0.25">
      <c r="A27" s="43">
        <f t="shared" si="0"/>
        <v>44895</v>
      </c>
      <c r="B27" s="11">
        <v>6491.0379436567091</v>
      </c>
      <c r="C27" s="11">
        <v>43.200000000000017</v>
      </c>
      <c r="D27" s="11">
        <v>66.911885817446702</v>
      </c>
      <c r="E27" s="11">
        <v>0</v>
      </c>
      <c r="F27" s="10">
        <v>6024.3410465257539</v>
      </c>
      <c r="G27" s="11">
        <v>73.611885817446691</v>
      </c>
      <c r="H27" s="11">
        <v>49.899999999999991</v>
      </c>
      <c r="I27" s="11">
        <v>95.064571350659705</v>
      </c>
      <c r="J27" s="12">
        <v>0</v>
      </c>
      <c r="K27" s="11">
        <v>9308.4999999999891</v>
      </c>
      <c r="L27" s="11">
        <v>5.0999999999999988</v>
      </c>
      <c r="M27" s="11">
        <v>7.4583200000020238</v>
      </c>
      <c r="N27" s="10">
        <v>7494.9999999999909</v>
      </c>
      <c r="O27" s="11">
        <v>33.558320000002027</v>
      </c>
      <c r="P27" s="11">
        <v>31.200000000000006</v>
      </c>
      <c r="Q27" s="11">
        <v>45.367329518038076</v>
      </c>
      <c r="R27" s="12">
        <v>0</v>
      </c>
      <c r="S27" s="11">
        <v>6753.0390355238069</v>
      </c>
      <c r="T27" s="75">
        <v>52.035740035565084</v>
      </c>
      <c r="U27" s="75">
        <v>0</v>
      </c>
      <c r="V27" s="10">
        <v>7645.9325524966398</v>
      </c>
      <c r="W27" s="11">
        <v>9.1000000000000156</v>
      </c>
      <c r="X27" s="12">
        <v>6.7045479000058608</v>
      </c>
      <c r="Y27" s="11">
        <v>6064.1511371606739</v>
      </c>
      <c r="Z27" s="11">
        <v>25.655547900005867</v>
      </c>
      <c r="AA27" s="11">
        <v>28.100000000000023</v>
      </c>
      <c r="AB27" s="41">
        <v>20.826446280991714</v>
      </c>
      <c r="AC27" s="11">
        <v>0</v>
      </c>
      <c r="AD27" s="10">
        <v>3585.6270915139407</v>
      </c>
      <c r="AE27" s="11">
        <v>10429.285919312928</v>
      </c>
      <c r="AF27" s="11">
        <v>513.22775766721634</v>
      </c>
      <c r="AG27" s="11">
        <v>461.0999999999998</v>
      </c>
      <c r="AH27" s="11">
        <v>28.52212767647983</v>
      </c>
      <c r="AI27" s="11">
        <v>639.99999999966485</v>
      </c>
      <c r="AJ27" s="12">
        <v>0</v>
      </c>
      <c r="AK27" s="11">
        <v>1059.225122998798</v>
      </c>
      <c r="AL27" s="38">
        <v>602919.86458073382</v>
      </c>
      <c r="AM27" s="11">
        <v>229.00058372133842</v>
      </c>
      <c r="AN27" s="10">
        <v>634.99500232453511</v>
      </c>
      <c r="AO27" s="41">
        <v>522756.1108994137</v>
      </c>
      <c r="AP27" s="12">
        <v>62.475342152325574</v>
      </c>
      <c r="AQ27" s="11">
        <v>447.49999999999352</v>
      </c>
      <c r="AR27" s="41">
        <v>340120.72928145854</v>
      </c>
      <c r="AS27" s="41">
        <v>22027.419562417097</v>
      </c>
      <c r="AT27" s="13">
        <v>15329.725486893005</v>
      </c>
      <c r="AU27" s="11">
        <v>59838.583333333263</v>
      </c>
      <c r="AV27" s="13">
        <v>124771.06100438256</v>
      </c>
    </row>
    <row r="28" spans="1:48" x14ac:dyDescent="0.25">
      <c r="A28" s="43">
        <f t="shared" si="0"/>
        <v>44926</v>
      </c>
      <c r="B28" s="11"/>
      <c r="C28" s="11"/>
      <c r="D28" s="11"/>
      <c r="E28" s="11"/>
      <c r="F28" s="10"/>
      <c r="G28" s="11"/>
      <c r="H28" s="11"/>
      <c r="I28" s="11"/>
      <c r="J28" s="12"/>
      <c r="K28" s="11"/>
      <c r="L28" s="11"/>
      <c r="M28" s="11"/>
      <c r="N28" s="10"/>
      <c r="O28" s="11"/>
      <c r="P28" s="11"/>
      <c r="Q28" s="11"/>
      <c r="R28" s="12"/>
      <c r="S28" s="11"/>
      <c r="T28" s="11"/>
      <c r="U28" s="11"/>
      <c r="V28" s="10"/>
      <c r="W28" s="11"/>
      <c r="X28" s="12"/>
      <c r="Y28" s="11"/>
      <c r="Z28" s="11"/>
      <c r="AA28" s="11"/>
      <c r="AB28" s="41"/>
      <c r="AC28" s="11"/>
      <c r="AD28" s="10"/>
      <c r="AE28" s="11"/>
      <c r="AF28" s="11"/>
      <c r="AG28" s="11"/>
      <c r="AH28" s="11"/>
      <c r="AI28" s="11"/>
      <c r="AJ28" s="12"/>
      <c r="AK28" s="11"/>
      <c r="AL28" s="38"/>
      <c r="AM28" s="11"/>
      <c r="AN28" s="10"/>
      <c r="AO28" s="41"/>
      <c r="AP28" s="12"/>
      <c r="AQ28" s="11"/>
      <c r="AR28" s="41"/>
      <c r="AS28" s="41"/>
      <c r="AT28" s="13"/>
      <c r="AU28" s="11"/>
      <c r="AV28" s="13"/>
    </row>
    <row r="29" spans="1:48" x14ac:dyDescent="0.25">
      <c r="A29" s="43">
        <f t="shared" si="0"/>
        <v>44957</v>
      </c>
      <c r="B29" s="11"/>
      <c r="C29" s="11"/>
      <c r="D29" s="11"/>
      <c r="E29" s="11"/>
      <c r="F29" s="10"/>
      <c r="G29" s="11"/>
      <c r="H29" s="11"/>
      <c r="I29" s="11"/>
      <c r="J29" s="12"/>
      <c r="K29" s="11"/>
      <c r="L29" s="11"/>
      <c r="M29" s="11"/>
      <c r="N29" s="10"/>
      <c r="O29" s="11"/>
      <c r="P29" s="11"/>
      <c r="Q29" s="11"/>
      <c r="R29" s="12"/>
      <c r="S29" s="11"/>
      <c r="T29" s="11"/>
      <c r="U29" s="11"/>
      <c r="V29" s="10"/>
      <c r="W29" s="11"/>
      <c r="X29" s="12"/>
      <c r="Y29" s="11"/>
      <c r="Z29" s="11"/>
      <c r="AA29" s="11"/>
      <c r="AB29" s="41"/>
      <c r="AC29" s="11"/>
      <c r="AD29" s="10"/>
      <c r="AE29" s="11"/>
      <c r="AF29" s="11"/>
      <c r="AG29" s="11"/>
      <c r="AH29" s="11"/>
      <c r="AI29" s="11"/>
      <c r="AJ29" s="12"/>
      <c r="AK29" s="11"/>
      <c r="AL29" s="38"/>
      <c r="AM29" s="11"/>
      <c r="AN29" s="10"/>
      <c r="AO29" s="41"/>
      <c r="AP29" s="12"/>
      <c r="AQ29" s="11"/>
      <c r="AR29" s="41"/>
      <c r="AS29" s="41"/>
      <c r="AT29" s="13"/>
      <c r="AU29" s="11"/>
      <c r="AV29" s="13"/>
    </row>
    <row r="30" spans="1:48" x14ac:dyDescent="0.25">
      <c r="A30" s="43">
        <f t="shared" si="0"/>
        <v>44985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38"/>
      <c r="AM30" s="11"/>
      <c r="AN30" s="10"/>
      <c r="AO30" s="41"/>
      <c r="AP30" s="12"/>
      <c r="AQ30" s="11"/>
      <c r="AR30" s="41"/>
      <c r="AS30" s="41"/>
      <c r="AT30" s="13"/>
      <c r="AU30" s="11"/>
      <c r="AV30" s="13"/>
    </row>
    <row r="31" spans="1:48" x14ac:dyDescent="0.25">
      <c r="A31" s="43">
        <f t="shared" si="0"/>
        <v>45016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38"/>
      <c r="AM31" s="11"/>
      <c r="AN31" s="10"/>
      <c r="AO31" s="41"/>
      <c r="AP31" s="12"/>
      <c r="AQ31" s="11"/>
      <c r="AR31" s="41"/>
      <c r="AS31" s="41"/>
      <c r="AT31" s="13"/>
      <c r="AU31" s="11"/>
      <c r="AV31" s="13"/>
    </row>
    <row r="32" spans="1:48" x14ac:dyDescent="0.25">
      <c r="A32" s="43">
        <f t="shared" si="0"/>
        <v>45046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38"/>
      <c r="AM32" s="11"/>
      <c r="AN32" s="10"/>
      <c r="AO32" s="41"/>
      <c r="AP32" s="12"/>
      <c r="AQ32" s="11"/>
      <c r="AR32" s="41"/>
      <c r="AS32" s="41"/>
      <c r="AT32" s="13"/>
      <c r="AU32" s="11"/>
      <c r="AV32" s="13"/>
    </row>
    <row r="33" spans="1:48" x14ac:dyDescent="0.25">
      <c r="A33" s="43">
        <f t="shared" si="0"/>
        <v>45077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38"/>
      <c r="AM33" s="11"/>
      <c r="AN33" s="10"/>
      <c r="AO33" s="41"/>
      <c r="AP33" s="12"/>
      <c r="AQ33" s="11"/>
      <c r="AR33" s="41"/>
      <c r="AS33" s="41"/>
      <c r="AT33" s="13"/>
      <c r="AU33" s="11"/>
      <c r="AV33" s="13"/>
    </row>
    <row r="34" spans="1:48" x14ac:dyDescent="0.25">
      <c r="A34" s="43">
        <f t="shared" si="0"/>
        <v>45107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38"/>
      <c r="AM34" s="11"/>
      <c r="AN34" s="10"/>
      <c r="AO34" s="41"/>
      <c r="AP34" s="12"/>
      <c r="AQ34" s="11"/>
      <c r="AR34" s="41"/>
      <c r="AS34" s="41"/>
      <c r="AT34" s="13"/>
      <c r="AU34" s="11"/>
      <c r="AV34" s="13"/>
    </row>
    <row r="35" spans="1:48" x14ac:dyDescent="0.25">
      <c r="A35" s="44">
        <f t="shared" si="0"/>
        <v>45138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39"/>
      <c r="AM35" s="15"/>
      <c r="AN35" s="14"/>
      <c r="AO35" s="42"/>
      <c r="AP35" s="16"/>
      <c r="AQ35" s="15"/>
      <c r="AR35" s="42"/>
      <c r="AS35" s="42"/>
      <c r="AT35" s="17"/>
      <c r="AU35" s="15"/>
      <c r="AV35" s="17"/>
    </row>
  </sheetData>
  <mergeCells count="13">
    <mergeCell ref="AB1:AV1"/>
    <mergeCell ref="B1:Y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AV35"/>
  <sheetViews>
    <sheetView zoomScale="90" zoomScaleNormal="90" workbookViewId="0">
      <selection activeCell="AK36" sqref="AK36"/>
    </sheetView>
  </sheetViews>
  <sheetFormatPr defaultRowHeight="15" x14ac:dyDescent="0.25"/>
  <cols>
    <col min="1" max="1" width="16.42578125" customWidth="1"/>
    <col min="2" max="2" width="9.28515625" bestFit="1" customWidth="1"/>
    <col min="3" max="3" width="9.28515625" customWidth="1"/>
    <col min="4" max="6" width="9.28515625" bestFit="1" customWidth="1"/>
    <col min="7" max="8" width="9.28515625" customWidth="1"/>
    <col min="9" max="11" width="9.28515625" bestFit="1" customWidth="1"/>
    <col min="12" max="12" width="9.28515625" customWidth="1"/>
    <col min="13" max="14" width="9.28515625" bestFit="1" customWidth="1"/>
    <col min="15" max="16" width="9.28515625" customWidth="1"/>
    <col min="17" max="19" width="9.28515625" bestFit="1" customWidth="1"/>
    <col min="20" max="20" width="12.28515625" bestFit="1" customWidth="1"/>
    <col min="21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28" width="10.28515625" bestFit="1" customWidth="1"/>
    <col min="29" max="30" width="9.28515625" bestFit="1" customWidth="1"/>
    <col min="31" max="31" width="13.140625" customWidth="1"/>
    <col min="32" max="34" width="9.28515625" customWidth="1"/>
    <col min="35" max="37" width="9.28515625" bestFit="1" customWidth="1"/>
    <col min="38" max="38" width="15.7109375" customWidth="1"/>
    <col min="39" max="45" width="9.28515625" bestFit="1" customWidth="1"/>
    <col min="46" max="46" width="28.85546875" customWidth="1"/>
    <col min="47" max="48" width="19.140625" customWidth="1"/>
  </cols>
  <sheetData>
    <row r="1" spans="1:48" ht="18.75" x14ac:dyDescent="0.3">
      <c r="A1" s="1"/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62"/>
      <c r="AA1" s="62"/>
      <c r="AB1" s="125" t="s">
        <v>63</v>
      </c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</row>
    <row r="2" spans="1:48" x14ac:dyDescent="0.25">
      <c r="A2" s="51"/>
      <c r="B2" s="127" t="s">
        <v>7</v>
      </c>
      <c r="C2" s="126"/>
      <c r="D2" s="126"/>
      <c r="E2" s="126"/>
      <c r="F2" s="127" t="s">
        <v>6</v>
      </c>
      <c r="G2" s="126"/>
      <c r="H2" s="126"/>
      <c r="I2" s="126"/>
      <c r="J2" s="128"/>
      <c r="K2" s="126" t="s">
        <v>5</v>
      </c>
      <c r="L2" s="126"/>
      <c r="M2" s="126"/>
      <c r="N2" s="127" t="s">
        <v>4</v>
      </c>
      <c r="O2" s="126"/>
      <c r="P2" s="126"/>
      <c r="Q2" s="126"/>
      <c r="R2" s="128"/>
      <c r="S2" s="126" t="s">
        <v>8</v>
      </c>
      <c r="T2" s="126"/>
      <c r="U2" s="126"/>
      <c r="V2" s="127" t="s">
        <v>9</v>
      </c>
      <c r="W2" s="126"/>
      <c r="X2" s="128"/>
      <c r="Y2" s="126" t="s">
        <v>10</v>
      </c>
      <c r="Z2" s="126"/>
      <c r="AA2" s="126"/>
      <c r="AB2" s="126"/>
      <c r="AC2" s="126"/>
      <c r="AD2" s="127" t="s">
        <v>11</v>
      </c>
      <c r="AE2" s="126"/>
      <c r="AF2" s="126"/>
      <c r="AG2" s="126"/>
      <c r="AH2" s="126"/>
      <c r="AI2" s="126"/>
      <c r="AJ2" s="128"/>
      <c r="AK2" s="126" t="s">
        <v>12</v>
      </c>
      <c r="AL2" s="126"/>
      <c r="AM2" s="126"/>
      <c r="AN2" s="127" t="s">
        <v>14</v>
      </c>
      <c r="AO2" s="126"/>
      <c r="AP2" s="128"/>
      <c r="AQ2" s="126" t="s">
        <v>15</v>
      </c>
      <c r="AR2" s="126"/>
      <c r="AS2" s="126"/>
      <c r="AT2" s="34" t="s">
        <v>16</v>
      </c>
      <c r="AU2" s="33" t="s">
        <v>17</v>
      </c>
      <c r="AV2" s="34" t="s">
        <v>18</v>
      </c>
    </row>
    <row r="3" spans="1:48" x14ac:dyDescent="0.25">
      <c r="A3" s="52"/>
      <c r="B3" s="45" t="s">
        <v>1</v>
      </c>
      <c r="C3" s="46" t="s">
        <v>134</v>
      </c>
      <c r="D3" s="46" t="s">
        <v>2</v>
      </c>
      <c r="E3" s="46" t="s">
        <v>3</v>
      </c>
      <c r="F3" s="45" t="s">
        <v>1</v>
      </c>
      <c r="G3" s="46" t="s">
        <v>134</v>
      </c>
      <c r="H3" s="46" t="s">
        <v>135</v>
      </c>
      <c r="I3" s="46" t="s">
        <v>2</v>
      </c>
      <c r="J3" s="47" t="s">
        <v>3</v>
      </c>
      <c r="K3" s="46" t="s">
        <v>1</v>
      </c>
      <c r="L3" s="46" t="s">
        <v>134</v>
      </c>
      <c r="M3" s="46" t="s">
        <v>2</v>
      </c>
      <c r="N3" s="45" t="s">
        <v>1</v>
      </c>
      <c r="O3" s="46" t="s">
        <v>134</v>
      </c>
      <c r="P3" s="46" t="s">
        <v>135</v>
      </c>
      <c r="Q3" s="46" t="s">
        <v>2</v>
      </c>
      <c r="R3" s="47" t="s">
        <v>3</v>
      </c>
      <c r="S3" s="46" t="s">
        <v>1</v>
      </c>
      <c r="T3" s="46" t="s">
        <v>2</v>
      </c>
      <c r="U3" s="46" t="s">
        <v>3</v>
      </c>
      <c r="V3" s="45" t="s">
        <v>1</v>
      </c>
      <c r="W3" s="46" t="s">
        <v>134</v>
      </c>
      <c r="X3" s="47" t="s">
        <v>2</v>
      </c>
      <c r="Y3" s="46" t="s">
        <v>1</v>
      </c>
      <c r="Z3" s="46" t="s">
        <v>134</v>
      </c>
      <c r="AA3" s="46" t="s">
        <v>135</v>
      </c>
      <c r="AB3" s="46" t="s">
        <v>2</v>
      </c>
      <c r="AC3" s="46" t="s">
        <v>3</v>
      </c>
      <c r="AD3" s="45" t="s">
        <v>1</v>
      </c>
      <c r="AE3" s="46" t="s">
        <v>136</v>
      </c>
      <c r="AF3" s="46" t="s">
        <v>134</v>
      </c>
      <c r="AG3" s="46" t="s">
        <v>135</v>
      </c>
      <c r="AH3" s="46" t="s">
        <v>137</v>
      </c>
      <c r="AI3" s="46" t="s">
        <v>2</v>
      </c>
      <c r="AJ3" s="47" t="s">
        <v>3</v>
      </c>
      <c r="AK3" s="46" t="s">
        <v>1</v>
      </c>
      <c r="AL3" s="46" t="s">
        <v>2</v>
      </c>
      <c r="AM3" s="46" t="s">
        <v>13</v>
      </c>
      <c r="AN3" s="45" t="s">
        <v>1</v>
      </c>
      <c r="AO3" s="46" t="s">
        <v>2</v>
      </c>
      <c r="AP3" s="47" t="s">
        <v>13</v>
      </c>
      <c r="AQ3" s="46" t="s">
        <v>1</v>
      </c>
      <c r="AR3" s="46" t="s">
        <v>2</v>
      </c>
      <c r="AS3" s="46" t="s">
        <v>13</v>
      </c>
      <c r="AT3" s="48" t="s">
        <v>19</v>
      </c>
      <c r="AU3" s="46" t="s">
        <v>19</v>
      </c>
      <c r="AV3" s="48" t="s">
        <v>19</v>
      </c>
    </row>
    <row r="4" spans="1:48" x14ac:dyDescent="0.25">
      <c r="A4" s="53">
        <f>RunInformation!AD5</f>
        <v>44196</v>
      </c>
      <c r="B4" s="6">
        <f>'24MS_Data'!B4-MTOM_Data!B4</f>
        <v>0.5048760940117063</v>
      </c>
      <c r="C4" s="7">
        <f>'24MS_Data'!C4-MTOM_Data!C4</f>
        <v>0</v>
      </c>
      <c r="D4" s="7">
        <f>'24MS_Data'!D4-MTOM_Data!D4</f>
        <v>-3.0084222878676883</v>
      </c>
      <c r="E4" s="7">
        <f>'24MS_Data'!E4-MTOM_Data!E4</f>
        <v>0</v>
      </c>
      <c r="F4" s="6">
        <f>'24MS_Data'!F4-MTOM_Data!F4</f>
        <v>0.49827009789169097</v>
      </c>
      <c r="G4" s="7">
        <f>'24MS_Data'!G4-MTOM_Data!G4</f>
        <v>-3.0084222877811655</v>
      </c>
      <c r="H4" s="7">
        <f>'24MS_Data'!H4-MTOM_Data!H4</f>
        <v>0</v>
      </c>
      <c r="I4" s="7">
        <f>'24MS_Data'!I4-MTOM_Data!I4</f>
        <v>-22.133884297520595</v>
      </c>
      <c r="J4" s="8">
        <f>'24MS_Data'!J4-MTOM_Data!J4</f>
        <v>0</v>
      </c>
      <c r="K4" s="7">
        <f>'24MS_Data'!K4-MTOM_Data!K4</f>
        <v>-0.38396343233216612</v>
      </c>
      <c r="L4" s="7">
        <f>'24MS_Data'!L4-MTOM_Data!L4</f>
        <v>0</v>
      </c>
      <c r="M4" s="7">
        <f>'24MS_Data'!M4-MTOM_Data!M4</f>
        <v>0.58842975206612103</v>
      </c>
      <c r="N4" s="6">
        <f>'24MS_Data'!N4-MTOM_Data!N4</f>
        <v>0.39783015818102285</v>
      </c>
      <c r="O4" s="7">
        <f>'24MS_Data'!O4-MTOM_Data!O4</f>
        <v>0.5884297520591204</v>
      </c>
      <c r="P4" s="7">
        <f>'24MS_Data'!P4-MTOM_Data!P4</f>
        <v>0</v>
      </c>
      <c r="Q4" s="7">
        <f>'24MS_Data'!Q4-MTOM_Data!Q4</f>
        <v>-1.9644927369800911</v>
      </c>
      <c r="R4" s="8">
        <f>'24MS_Data'!R4-MTOM_Data!R4</f>
        <v>0</v>
      </c>
      <c r="S4" s="7">
        <f>'24MS_Data'!S4-MTOM_Data!S4</f>
        <v>-3.4066457021108363</v>
      </c>
      <c r="T4" s="7">
        <f>'24MS_Data'!T4-MTOM_Data!T4</f>
        <v>3.5474884952791186</v>
      </c>
      <c r="U4" s="7">
        <f>'24MS_Data'!U4-MTOM_Data!U4</f>
        <v>0</v>
      </c>
      <c r="V4" s="6">
        <f>'24MS_Data'!V4-MTOM_Data!V4</f>
        <v>0.96626171953539597</v>
      </c>
      <c r="W4" s="7">
        <f>'24MS_Data'!W4-MTOM_Data!W4</f>
        <v>0</v>
      </c>
      <c r="X4" s="8">
        <f>'24MS_Data'!X4-MTOM_Data!X4</f>
        <v>-1.4746280300009809</v>
      </c>
      <c r="Y4" s="7">
        <f>'24MS_Data'!Y4-MTOM_Data!Y4</f>
        <v>0.12772398043398425</v>
      </c>
      <c r="Z4" s="7">
        <f>'24MS_Data'!Z4-MTOM_Data!Z4</f>
        <v>-1.4746280299916048</v>
      </c>
      <c r="AA4" s="7">
        <f>'24MS_Data'!AA4-MTOM_Data!AA4</f>
        <v>0</v>
      </c>
      <c r="AB4" s="7">
        <f>'24MS_Data'!AB4-MTOM_Data!AB4</f>
        <v>-2.8306611570247462</v>
      </c>
      <c r="AC4" s="7">
        <f>'24MS_Data'!AC4-MTOM_Data!AC4</f>
        <v>0</v>
      </c>
      <c r="AD4" s="6">
        <f>'24MS_Data'!AD4-MTOM_Data!AD4</f>
        <v>-0.22763464877789374</v>
      </c>
      <c r="AE4" s="7">
        <f>'24MS_Data'!AE4-MTOM_Data!AE4</f>
        <v>-19.81411367320834</v>
      </c>
      <c r="AF4" s="7">
        <f>'24MS_Data'!AF4-MTOM_Data!AF4</f>
        <v>-21.417056959205809</v>
      </c>
      <c r="AG4" s="7">
        <f>'24MS_Data'!AG4-MTOM_Data!AG4</f>
        <v>0</v>
      </c>
      <c r="AH4" s="7">
        <f>'24MS_Data'!AH4-MTOM_Data!AH4</f>
        <v>-1.7814178112722345E-2</v>
      </c>
      <c r="AI4" s="7">
        <f>'24MS_Data'!AI4-MTOM_Data!AI4</f>
        <v>1.7746515368344262E-10</v>
      </c>
      <c r="AJ4" s="8">
        <f>'24MS_Data'!AJ4-MTOM_Data!AJ4</f>
        <v>0</v>
      </c>
      <c r="AK4" s="7">
        <f>'24MS_Data'!AK4-MTOM_Data!AK4</f>
        <v>1.1543761502252892E-9</v>
      </c>
      <c r="AL4" s="7">
        <f>'24MS_Data'!AL4-MTOM_Data!AL4</f>
        <v>-9.0978574007749557E-7</v>
      </c>
      <c r="AM4" s="7">
        <f>'24MS_Data'!AM4-MTOM_Data!AM4</f>
        <v>2.7512214728631079E-11</v>
      </c>
      <c r="AN4" s="6">
        <f>'24MS_Data'!AN4-MTOM_Data!AN4</f>
        <v>2.0861534721916541E-10</v>
      </c>
      <c r="AO4" s="7">
        <f>'24MS_Data'!AO4-MTOM_Data!AO4</f>
        <v>-5.1187817007303238E-7</v>
      </c>
      <c r="AP4" s="8">
        <f>'24MS_Data'!AP4-MTOM_Data!AP4</f>
        <v>4.425260158313904E-11</v>
      </c>
      <c r="AQ4" s="7">
        <f>'24MS_Data'!AQ4-MTOM_Data!AQ4</f>
        <v>-1.0584244591882452E-10</v>
      </c>
      <c r="AR4" s="7">
        <f>'24MS_Data'!AR4-MTOM_Data!AR4</f>
        <v>9.1240508481860161E-7</v>
      </c>
      <c r="AS4" s="7">
        <f>'24MS_Data'!AS4-MTOM_Data!AS4</f>
        <v>-1.3518729247152805E-8</v>
      </c>
      <c r="AT4" s="9">
        <f>'24MS_Data'!AT4-MTOM_Data!AT4</f>
        <v>-5.4453153097711038E-10</v>
      </c>
      <c r="AU4" s="7">
        <f>'24MS_Data'!AU4-MTOM_Data!AU4</f>
        <v>4.1967723518610001E-8</v>
      </c>
      <c r="AV4" s="9">
        <f>'24MS_Data'!AV4-MTOM_Data!AV4</f>
        <v>-4.0090526454150677E-8</v>
      </c>
    </row>
    <row r="5" spans="1:48" x14ac:dyDescent="0.25">
      <c r="A5" s="49">
        <f>EOMONTH(A4,1)</f>
        <v>44227</v>
      </c>
      <c r="B5" s="10">
        <f>'24MS_Data'!B5-MTOM_Data!B5</f>
        <v>1.1453865250259696</v>
      </c>
      <c r="C5" s="11">
        <f>'24MS_Data'!C5-MTOM_Data!C5</f>
        <v>0</v>
      </c>
      <c r="D5" s="11">
        <f>'24MS_Data'!D5-MTOM_Data!D5</f>
        <v>-3.0084222878676883</v>
      </c>
      <c r="E5" s="11">
        <f>'24MS_Data'!E5-MTOM_Data!E5</f>
        <v>0</v>
      </c>
      <c r="F5" s="10">
        <f>'24MS_Data'!F5-MTOM_Data!F5</f>
        <v>0.82314232257976983</v>
      </c>
      <c r="G5" s="11">
        <f>'24MS_Data'!G5-MTOM_Data!G5</f>
        <v>-3.0084222879492586</v>
      </c>
      <c r="H5" s="11">
        <f>'24MS_Data'!H5-MTOM_Data!H5</f>
        <v>0</v>
      </c>
      <c r="I5" s="11">
        <f>'24MS_Data'!I5-MTOM_Data!I5</f>
        <v>-15.431404958677618</v>
      </c>
      <c r="J5" s="12">
        <f>'24MS_Data'!J5-MTOM_Data!J5</f>
        <v>0</v>
      </c>
      <c r="K5" s="11">
        <f>'24MS_Data'!K5-MTOM_Data!K5</f>
        <v>-0.78111883332530851</v>
      </c>
      <c r="L5" s="11">
        <f>'24MS_Data'!L5-MTOM_Data!L5</f>
        <v>0</v>
      </c>
      <c r="M5" s="11">
        <f>'24MS_Data'!M5-MTOM_Data!M5</f>
        <v>0.58842975206612103</v>
      </c>
      <c r="N5" s="10">
        <f>'24MS_Data'!N5-MTOM_Data!N5</f>
        <v>1.0353239392316027E-2</v>
      </c>
      <c r="O5" s="11">
        <f>'24MS_Data'!O5-MTOM_Data!O5</f>
        <v>0.58842975207592474</v>
      </c>
      <c r="P5" s="11">
        <f>'24MS_Data'!P5-MTOM_Data!P5</f>
        <v>0</v>
      </c>
      <c r="Q5" s="11">
        <f>'24MS_Data'!Q5-MTOM_Data!Q5</f>
        <v>3.0743129529219075</v>
      </c>
      <c r="R5" s="12">
        <f>'24MS_Data'!R5-MTOM_Data!R5</f>
        <v>0</v>
      </c>
      <c r="S5" s="11">
        <f>'24MS_Data'!S5-MTOM_Data!S5</f>
        <v>-3.4066457021108363</v>
      </c>
      <c r="T5" s="11">
        <f>'24MS_Data'!T5-MTOM_Data!T5</f>
        <v>3.0750674469849528</v>
      </c>
      <c r="U5" s="11">
        <f>'24MS_Data'!U5-MTOM_Data!U5</f>
        <v>0</v>
      </c>
      <c r="V5" s="10">
        <f>'24MS_Data'!V5-MTOM_Data!V5</f>
        <v>1.8792192462233288</v>
      </c>
      <c r="W5" s="11">
        <f>'24MS_Data'!W5-MTOM_Data!W5</f>
        <v>0</v>
      </c>
      <c r="X5" s="12">
        <f>'24MS_Data'!X5-MTOM_Data!X5</f>
        <v>-1.4746280300009809</v>
      </c>
      <c r="Y5" s="11">
        <f>'24MS_Data'!Y5-MTOM_Data!Y5</f>
        <v>0.10173154340373003</v>
      </c>
      <c r="Z5" s="11">
        <f>'24MS_Data'!Z5-MTOM_Data!Z5</f>
        <v>-1.4746280300035188</v>
      </c>
      <c r="AA5" s="11">
        <f>'24MS_Data'!AA5-MTOM_Data!AA5</f>
        <v>0</v>
      </c>
      <c r="AB5" s="11">
        <f>'24MS_Data'!AB5-MTOM_Data!AB5</f>
        <v>-1.1906611570247954</v>
      </c>
      <c r="AC5" s="11">
        <f>'24MS_Data'!AC5-MTOM_Data!AC5</f>
        <v>0</v>
      </c>
      <c r="AD5" s="10">
        <f>'24MS_Data'!AD5-MTOM_Data!AD5</f>
        <v>-0.38274374088587138</v>
      </c>
      <c r="AE5" s="11">
        <f>'24MS_Data'!AE5-MTOM_Data!AE5</f>
        <v>-32.342463819913974</v>
      </c>
      <c r="AF5" s="11">
        <f>'24MS_Data'!AF5-MTOM_Data!AF5</f>
        <v>-13.546998669108859</v>
      </c>
      <c r="AG5" s="11">
        <f>'24MS_Data'!AG5-MTOM_Data!AG5</f>
        <v>0</v>
      </c>
      <c r="AH5" s="11">
        <f>'24MS_Data'!AH5-MTOM_Data!AH5</f>
        <v>-1.6380426107640567E-2</v>
      </c>
      <c r="AI5" s="11">
        <f>'24MS_Data'!AI5-MTOM_Data!AI5</f>
        <v>9.6861185738816857E-11</v>
      </c>
      <c r="AJ5" s="12">
        <f>'24MS_Data'!AJ5-MTOM_Data!AJ5</f>
        <v>0</v>
      </c>
      <c r="AK5" s="11">
        <f>'24MS_Data'!AK5-MTOM_Data!AK5</f>
        <v>-4.7161158818198601E-6</v>
      </c>
      <c r="AL5" s="11">
        <f>'24MS_Data'!AL5-MTOM_Data!AL5</f>
        <v>0.43002977868309245</v>
      </c>
      <c r="AM5" s="11">
        <f>'24MS_Data'!AM5-MTOM_Data!AM5</f>
        <v>1.8611010355584767E-4</v>
      </c>
      <c r="AN5" s="10">
        <f>'24MS_Data'!AN5-MTOM_Data!AN5</f>
        <v>3.0183855415089056E-10</v>
      </c>
      <c r="AO5" s="11">
        <f>'24MS_Data'!AO5-MTOM_Data!AO5</f>
        <v>0.43003050109837204</v>
      </c>
      <c r="AP5" s="12">
        <f>'24MS_Data'!AP5-MTOM_Data!AP5</f>
        <v>5.3130853792993094E-5</v>
      </c>
      <c r="AQ5" s="11">
        <f>'24MS_Data'!AQ5-MTOM_Data!AQ5</f>
        <v>1.7621459846850485E-12</v>
      </c>
      <c r="AR5" s="11">
        <f>'24MS_Data'!AR5-MTOM_Data!AR5</f>
        <v>0.43002958787837997</v>
      </c>
      <c r="AS5" s="11">
        <f>'24MS_Data'!AS5-MTOM_Data!AS5</f>
        <v>2.9209898402768886E-2</v>
      </c>
      <c r="AT5" s="13">
        <f>'24MS_Data'!AT5-MTOM_Data!AT5</f>
        <v>-4.6693457989022136E-9</v>
      </c>
      <c r="AU5" s="11">
        <f>'24MS_Data'!AU5-MTOM_Data!AU5</f>
        <v>-8.9188688434660435E-8</v>
      </c>
      <c r="AV5" s="13">
        <f>'24MS_Data'!AV5-MTOM_Data!AV5</f>
        <v>-6.0979800764471292E-8</v>
      </c>
    </row>
    <row r="6" spans="1:48" x14ac:dyDescent="0.25">
      <c r="A6" s="49">
        <f t="shared" ref="A6:A35" si="0">EOMONTH(A5,1)</f>
        <v>44255</v>
      </c>
      <c r="B6" s="10">
        <f>'24MS_Data'!B6-MTOM_Data!B6</f>
        <v>1.8604933717651875</v>
      </c>
      <c r="C6" s="11">
        <f>'24MS_Data'!C6-MTOM_Data!C6</f>
        <v>0</v>
      </c>
      <c r="D6" s="11">
        <f>'24MS_Data'!D6-MTOM_Data!D6</f>
        <v>-2.7179298083966259</v>
      </c>
      <c r="E6" s="11">
        <f>'24MS_Data'!E6-MTOM_Data!E6</f>
        <v>0</v>
      </c>
      <c r="F6" s="10">
        <f>'24MS_Data'!F6-MTOM_Data!F6</f>
        <v>1.0942954177671709</v>
      </c>
      <c r="G6" s="11">
        <f>'24MS_Data'!G6-MTOM_Data!G6</f>
        <v>-2.7179298083529488</v>
      </c>
      <c r="H6" s="11">
        <f>'24MS_Data'!H6-MTOM_Data!H6</f>
        <v>0</v>
      </c>
      <c r="I6" s="11">
        <f>'24MS_Data'!I6-MTOM_Data!I6</f>
        <v>-13.105785123966882</v>
      </c>
      <c r="J6" s="12">
        <f>'24MS_Data'!J6-MTOM_Data!J6</f>
        <v>0</v>
      </c>
      <c r="K6" s="11">
        <f>'24MS_Data'!K6-MTOM_Data!K6</f>
        <v>-1.1553662409114622</v>
      </c>
      <c r="L6" s="11">
        <f>'24MS_Data'!L6-MTOM_Data!L6</f>
        <v>0</v>
      </c>
      <c r="M6" s="11">
        <f>'24MS_Data'!M6-MTOM_Data!M6</f>
        <v>0.53471074380165629</v>
      </c>
      <c r="N6" s="10">
        <f>'24MS_Data'!N6-MTOM_Data!N6</f>
        <v>-1.4081321286539605E-2</v>
      </c>
      <c r="O6" s="11">
        <f>'24MS_Data'!O6-MTOM_Data!O6</f>
        <v>0.5347107438016252</v>
      </c>
      <c r="P6" s="11">
        <f>'24MS_Data'!P6-MTOM_Data!P6</f>
        <v>0</v>
      </c>
      <c r="Q6" s="11">
        <f>'24MS_Data'!Q6-MTOM_Data!Q6</f>
        <v>0.69182089374394096</v>
      </c>
      <c r="R6" s="12">
        <f>'24MS_Data'!R6-MTOM_Data!R6</f>
        <v>0</v>
      </c>
      <c r="S6" s="11">
        <f>'24MS_Data'!S6-MTOM_Data!S6</f>
        <v>-3.4039451322778405</v>
      </c>
      <c r="T6" s="11">
        <f>'24MS_Data'!T6-MTOM_Data!T6</f>
        <v>0.68979105647860095</v>
      </c>
      <c r="U6" s="11">
        <f>'24MS_Data'!U6-MTOM_Data!U6</f>
        <v>0</v>
      </c>
      <c r="V6" s="10">
        <f>'24MS_Data'!V6-MTOM_Data!V6</f>
        <v>2.6843949435678951</v>
      </c>
      <c r="W6" s="11">
        <f>'24MS_Data'!W6-MTOM_Data!W6</f>
        <v>0</v>
      </c>
      <c r="X6" s="12">
        <f>'24MS_Data'!X6-MTOM_Data!X6</f>
        <v>-1.3361156400008862</v>
      </c>
      <c r="Y6" s="11">
        <f>'24MS_Data'!Y6-MTOM_Data!Y6</f>
        <v>0.23922976551421016</v>
      </c>
      <c r="Z6" s="11">
        <f>'24MS_Data'!Z6-MTOM_Data!Z6</f>
        <v>-1.3361156399997753</v>
      </c>
      <c r="AA6" s="11">
        <f>'24MS_Data'!AA6-MTOM_Data!AA6</f>
        <v>0</v>
      </c>
      <c r="AB6" s="11">
        <f>'24MS_Data'!AB6-MTOM_Data!AB6</f>
        <v>-2.7780165289256011</v>
      </c>
      <c r="AC6" s="11">
        <f>'24MS_Data'!AC6-MTOM_Data!AC6</f>
        <v>0</v>
      </c>
      <c r="AD6" s="10">
        <f>'24MS_Data'!AD6-MTOM_Data!AD6</f>
        <v>-0.56267759333832146</v>
      </c>
      <c r="AE6" s="11">
        <f>'24MS_Data'!AE6-MTOM_Data!AE6</f>
        <v>-46.385093993674673</v>
      </c>
      <c r="AF6" s="11">
        <f>'24MS_Data'!AF6-MTOM_Data!AF6</f>
        <v>-15.194010596345947</v>
      </c>
      <c r="AG6" s="11">
        <f>'24MS_Data'!AG6-MTOM_Data!AG6</f>
        <v>0</v>
      </c>
      <c r="AH6" s="11">
        <f>'24MS_Data'!AH6-MTOM_Data!AH6</f>
        <v>-2.7970031537353002E-2</v>
      </c>
      <c r="AI6" s="11">
        <f>'24MS_Data'!AI6-MTOM_Data!AI6</f>
        <v>2.531805876060389E-10</v>
      </c>
      <c r="AJ6" s="12">
        <f>'24MS_Data'!AJ6-MTOM_Data!AJ6</f>
        <v>0</v>
      </c>
      <c r="AK6" s="11">
        <f>'24MS_Data'!AK6-MTOM_Data!AK6</f>
        <v>-4.6806194404780399E-6</v>
      </c>
      <c r="AL6" s="11">
        <f>'24MS_Data'!AL6-MTOM_Data!AL6</f>
        <v>-1.0568182915449142E-6</v>
      </c>
      <c r="AM6" s="11">
        <f>'24MS_Data'!AM6-MTOM_Data!AM6</f>
        <v>-2.1534055463234836E-6</v>
      </c>
      <c r="AN6" s="10">
        <f>'24MS_Data'!AN6-MTOM_Data!AN6</f>
        <v>2.9490365704987198E-10</v>
      </c>
      <c r="AO6" s="11">
        <f>'24MS_Data'!AO6-MTOM_Data!AO6</f>
        <v>-2.852175384759903E-8</v>
      </c>
      <c r="AP6" s="12">
        <f>'24MS_Data'!AP6-MTOM_Data!AP6</f>
        <v>-2.2524204723595176E-11</v>
      </c>
      <c r="AQ6" s="11">
        <f>'24MS_Data'!AQ6-MTOM_Data!AQ6</f>
        <v>1.3642420526593924E-12</v>
      </c>
      <c r="AR6" s="11">
        <f>'24MS_Data'!AR6-MTOM_Data!AR6</f>
        <v>-5.8888690546154976E-7</v>
      </c>
      <c r="AS6" s="11">
        <f>'24MS_Data'!AS6-MTOM_Data!AS6</f>
        <v>5.5879354476928711E-8</v>
      </c>
      <c r="AT6" s="13">
        <f>'24MS_Data'!AT6-MTOM_Data!AT6</f>
        <v>-2.2573658498004079E-9</v>
      </c>
      <c r="AU6" s="11">
        <f>'24MS_Data'!AU6-MTOM_Data!AU6</f>
        <v>2.425792899884982E-10</v>
      </c>
      <c r="AV6" s="13">
        <f>'24MS_Data'!AV6-MTOM_Data!AV6</f>
        <v>-5.4365955293178558E-8</v>
      </c>
    </row>
    <row r="7" spans="1:48" x14ac:dyDescent="0.25">
      <c r="A7" s="49">
        <f t="shared" si="0"/>
        <v>44286</v>
      </c>
      <c r="B7" s="10">
        <f>'24MS_Data'!B7-MTOM_Data!B7</f>
        <v>1.7986983131022498</v>
      </c>
      <c r="C7" s="11">
        <f>'24MS_Data'!C7-MTOM_Data!C7</f>
        <v>0</v>
      </c>
      <c r="D7" s="11">
        <f>'24MS_Data'!D7-MTOM_Data!D7</f>
        <v>0.81157771213227647</v>
      </c>
      <c r="E7" s="11">
        <f>'24MS_Data'!E7-MTOM_Data!E7</f>
        <v>0</v>
      </c>
      <c r="F7" s="10">
        <f>'24MS_Data'!F7-MTOM_Data!F7</f>
        <v>0.93805675421299384</v>
      </c>
      <c r="G7" s="11">
        <f>'24MS_Data'!G7-MTOM_Data!G7</f>
        <v>0.81157771203841378</v>
      </c>
      <c r="H7" s="11">
        <f>'24MS_Data'!H7-MTOM_Data!H7</f>
        <v>0</v>
      </c>
      <c r="I7" s="11">
        <f>'24MS_Data'!I7-MTOM_Data!I7</f>
        <v>6.4599173553719567</v>
      </c>
      <c r="J7" s="12">
        <f>'24MS_Data'!J7-MTOM_Data!J7</f>
        <v>0</v>
      </c>
      <c r="K7" s="11">
        <f>'24MS_Data'!K7-MTOM_Data!K7</f>
        <v>-1.5846743174570292</v>
      </c>
      <c r="L7" s="11">
        <f>'24MS_Data'!L7-MTOM_Data!L7</f>
        <v>0</v>
      </c>
      <c r="M7" s="11">
        <f>'24MS_Data'!M7-MTOM_Data!M7</f>
        <v>0.58842975206612103</v>
      </c>
      <c r="N7" s="10">
        <f>'24MS_Data'!N7-MTOM_Data!N7</f>
        <v>-0.1750964585771726</v>
      </c>
      <c r="O7" s="11">
        <f>'24MS_Data'!O7-MTOM_Data!O7</f>
        <v>0.58842975208289161</v>
      </c>
      <c r="P7" s="11">
        <f>'24MS_Data'!P7-MTOM_Data!P7</f>
        <v>0</v>
      </c>
      <c r="Q7" s="11">
        <f>'24MS_Data'!Q7-MTOM_Data!Q7</f>
        <v>1.6362584375948863</v>
      </c>
      <c r="R7" s="12">
        <f>'24MS_Data'!R7-MTOM_Data!R7</f>
        <v>1.6362584376035372</v>
      </c>
      <c r="S7" s="11">
        <f>'24MS_Data'!S7-MTOM_Data!S7</f>
        <v>-3.4066457023000112</v>
      </c>
      <c r="T7" s="11">
        <f>'24MS_Data'!T7-MTOM_Data!T7</f>
        <v>1.6410429087518779</v>
      </c>
      <c r="U7" s="11">
        <f>'24MS_Data'!U7-MTOM_Data!U7</f>
        <v>1.6410429087518779</v>
      </c>
      <c r="V7" s="10">
        <f>'24MS_Data'!V7-MTOM_Data!V7</f>
        <v>3.4609789552887378</v>
      </c>
      <c r="W7" s="11">
        <f>'24MS_Data'!W7-MTOM_Data!W7</f>
        <v>0</v>
      </c>
      <c r="X7" s="12">
        <f>'24MS_Data'!X7-MTOM_Data!X7</f>
        <v>-1.4746280300009809</v>
      </c>
      <c r="Y7" s="11">
        <f>'24MS_Data'!Y7-MTOM_Data!Y7</f>
        <v>0.37073681765104993</v>
      </c>
      <c r="Z7" s="11">
        <f>'24MS_Data'!Z7-MTOM_Data!Z7</f>
        <v>-1.4746280299453787</v>
      </c>
      <c r="AA7" s="11">
        <f>'24MS_Data'!AA7-MTOM_Data!AA7</f>
        <v>0</v>
      </c>
      <c r="AB7" s="11">
        <f>'24MS_Data'!AB7-MTOM_Data!AB7</f>
        <v>-2.8806611570247647</v>
      </c>
      <c r="AC7" s="11">
        <f>'24MS_Data'!AC7-MTOM_Data!AC7</f>
        <v>0</v>
      </c>
      <c r="AD7" s="10">
        <f>'24MS_Data'!AD7-MTOM_Data!AD7</f>
        <v>-0.51529530174593674</v>
      </c>
      <c r="AE7" s="11">
        <f>'24MS_Data'!AE7-MTOM_Data!AE7</f>
        <v>-41.501957486319952</v>
      </c>
      <c r="AF7" s="11">
        <f>'24MS_Data'!AF7-MTOM_Data!AF7</f>
        <v>5.2202991081439336</v>
      </c>
      <c r="AG7" s="11">
        <f>'24MS_Data'!AG7-MTOM_Data!AG7</f>
        <v>0</v>
      </c>
      <c r="AH7" s="11">
        <f>'24MS_Data'!AH7-MTOM_Data!AH7</f>
        <v>-5.3488323401770899E-2</v>
      </c>
      <c r="AI7" s="11">
        <f>'24MS_Data'!AI7-MTOM_Data!AI7</f>
        <v>-2.106617102981545E-10</v>
      </c>
      <c r="AJ7" s="12">
        <f>'24MS_Data'!AJ7-MTOM_Data!AJ7</f>
        <v>0</v>
      </c>
      <c r="AK7" s="11">
        <f>'24MS_Data'!AK7-MTOM_Data!AK7</f>
        <v>-4.71474618279899E-6</v>
      </c>
      <c r="AL7" s="11">
        <f>'24MS_Data'!AL7-MTOM_Data!AL7</f>
        <v>2.5605550035834312E-6</v>
      </c>
      <c r="AM7" s="11">
        <f>'24MS_Data'!AM7-MTOM_Data!AM7</f>
        <v>-4.0443575244353269E-6</v>
      </c>
      <c r="AN7" s="10">
        <f>'24MS_Data'!AN7-MTOM_Data!AN7</f>
        <v>-9.4451024779118598E-10</v>
      </c>
      <c r="AO7" s="11">
        <f>'24MS_Data'!AO7-MTOM_Data!AO7</f>
        <v>-3.591412678360939E-7</v>
      </c>
      <c r="AP7" s="12">
        <f>'24MS_Data'!AP7-MTOM_Data!AP7</f>
        <v>4.1403325212741038E-10</v>
      </c>
      <c r="AQ7" s="11">
        <f>'24MS_Data'!AQ7-MTOM_Data!AQ7</f>
        <v>6.4858340920181945E-11</v>
      </c>
      <c r="AR7" s="11">
        <f>'24MS_Data'!AR7-MTOM_Data!AR7</f>
        <v>1.1367956176400185E-6</v>
      </c>
      <c r="AS7" s="11">
        <f>'24MS_Data'!AS7-MTOM_Data!AS7</f>
        <v>2.1893356461077929E-8</v>
      </c>
      <c r="AT7" s="13">
        <f>'24MS_Data'!AT7-MTOM_Data!AT7</f>
        <v>-8.5856299847364426E-10</v>
      </c>
      <c r="AU7" s="11">
        <f>'24MS_Data'!AU7-MTOM_Data!AU7</f>
        <v>4.876346793025732E-8</v>
      </c>
      <c r="AV7" s="13">
        <f>'24MS_Data'!AV7-MTOM_Data!AV7</f>
        <v>-1.2776581570506096E-8</v>
      </c>
    </row>
    <row r="8" spans="1:48" x14ac:dyDescent="0.25">
      <c r="A8" s="49">
        <f t="shared" si="0"/>
        <v>44316</v>
      </c>
      <c r="B8" s="10">
        <f>'24MS_Data'!B8-MTOM_Data!B8</f>
        <v>3.4210835891162787</v>
      </c>
      <c r="C8" s="11">
        <f>'24MS_Data'!C8-MTOM_Data!C8</f>
        <v>0</v>
      </c>
      <c r="D8" s="11">
        <f>'24MS_Data'!D8-MTOM_Data!D8</f>
        <v>-7.2388547463820245</v>
      </c>
      <c r="E8" s="11">
        <f>'24MS_Data'!E8-MTOM_Data!E8</f>
        <v>0</v>
      </c>
      <c r="F8" s="10">
        <f>'24MS_Data'!F8-MTOM_Data!F8</f>
        <v>0.58250673763268423</v>
      </c>
      <c r="G8" s="11">
        <f>'24MS_Data'!G8-MTOM_Data!G8</f>
        <v>-7.2388547464244368</v>
      </c>
      <c r="H8" s="11">
        <f>'24MS_Data'!H8-MTOM_Data!H8</f>
        <v>0</v>
      </c>
      <c r="I8" s="11">
        <f>'24MS_Data'!I8-MTOM_Data!I8</f>
        <v>6.2466942148761007</v>
      </c>
      <c r="J8" s="12">
        <f>'24MS_Data'!J8-MTOM_Data!J8</f>
        <v>0</v>
      </c>
      <c r="K8" s="11">
        <f>'24MS_Data'!K8-MTOM_Data!K8</f>
        <v>-5.4788461478601675</v>
      </c>
      <c r="L8" s="11">
        <f>'24MS_Data'!L8-MTOM_Data!L8</f>
        <v>0</v>
      </c>
      <c r="M8" s="11">
        <f>'24MS_Data'!M8-MTOM_Data!M8</f>
        <v>5.5371900826446456</v>
      </c>
      <c r="N8" s="10">
        <f>'24MS_Data'!N8-MTOM_Data!N8</f>
        <v>1.2479076055169571</v>
      </c>
      <c r="O8" s="11">
        <f>'24MS_Data'!O8-MTOM_Data!O8</f>
        <v>5.5371900825604925</v>
      </c>
      <c r="P8" s="11">
        <f>'24MS_Data'!P8-MTOM_Data!P8</f>
        <v>0</v>
      </c>
      <c r="Q8" s="11">
        <f>'24MS_Data'!Q8-MTOM_Data!Q8</f>
        <v>-3.8196415356204483</v>
      </c>
      <c r="R8" s="12">
        <f>'24MS_Data'!R8-MTOM_Data!R8</f>
        <v>-3.8196415355952809</v>
      </c>
      <c r="S8" s="11">
        <f>'24MS_Data'!S8-MTOM_Data!S8</f>
        <v>-3.4036249821319871</v>
      </c>
      <c r="T8" s="11">
        <f>'24MS_Data'!T8-MTOM_Data!T8</f>
        <v>-3.8198572974624696</v>
      </c>
      <c r="U8" s="11">
        <f>'24MS_Data'!U8-MTOM_Data!U8</f>
        <v>0</v>
      </c>
      <c r="V8" s="10">
        <f>'24MS_Data'!V8-MTOM_Data!V8</f>
        <v>3.8749524166423726</v>
      </c>
      <c r="W8" s="11">
        <f>'24MS_Data'!W8-MTOM_Data!W8</f>
        <v>0</v>
      </c>
      <c r="X8" s="12">
        <f>'24MS_Data'!X8-MTOM_Data!X8</f>
        <v>-1.4251239000009492</v>
      </c>
      <c r="Y8" s="11">
        <f>'24MS_Data'!Y8-MTOM_Data!Y8</f>
        <v>0.36976416112429433</v>
      </c>
      <c r="Z8" s="11">
        <f>'24MS_Data'!Z8-MTOM_Data!Z8</f>
        <v>-1.4251239000071934</v>
      </c>
      <c r="AA8" s="11">
        <f>'24MS_Data'!AA8-MTOM_Data!AA8</f>
        <v>0</v>
      </c>
      <c r="AB8" s="11">
        <f>'24MS_Data'!AB8-MTOM_Data!AB8</f>
        <v>-1.4864462809917036</v>
      </c>
      <c r="AC8" s="11">
        <f>'24MS_Data'!AC8-MTOM_Data!AC8</f>
        <v>0</v>
      </c>
      <c r="AD8" s="10">
        <f>'24MS_Data'!AD8-MTOM_Data!AD8</f>
        <v>-0.50891509106895683</v>
      </c>
      <c r="AE8" s="11">
        <f>'24MS_Data'!AE8-MTOM_Data!AE8</f>
        <v>-40.557943009900555</v>
      </c>
      <c r="AF8" s="11">
        <f>'24MS_Data'!AF8-MTOM_Data!AF8</f>
        <v>0.94039063753444907</v>
      </c>
      <c r="AG8" s="11">
        <f>'24MS_Data'!AG8-MTOM_Data!AG8</f>
        <v>0</v>
      </c>
      <c r="AH8" s="11">
        <f>'24MS_Data'!AH8-MTOM_Data!AH8</f>
        <v>-7.914499106438555E-2</v>
      </c>
      <c r="AI8" s="11">
        <f>'24MS_Data'!AI8-MTOM_Data!AI8</f>
        <v>3.3708147384459153E-10</v>
      </c>
      <c r="AJ8" s="12">
        <f>'24MS_Data'!AJ8-MTOM_Data!AJ8</f>
        <v>0</v>
      </c>
      <c r="AK8" s="11">
        <f>'24MS_Data'!AK8-MTOM_Data!AK8</f>
        <v>-4.7956948492355878E-6</v>
      </c>
      <c r="AL8" s="11">
        <f>'24MS_Data'!AL8-MTOM_Data!AL8</f>
        <v>9.1626076027750969E-5</v>
      </c>
      <c r="AM8" s="11">
        <f>'24MS_Data'!AM8-MTOM_Data!AM8</f>
        <v>-4.4034673010173719E-6</v>
      </c>
      <c r="AN8" s="10">
        <f>'24MS_Data'!AN8-MTOM_Data!AN8</f>
        <v>1.3263843356980942E-9</v>
      </c>
      <c r="AO8" s="11">
        <f>'24MS_Data'!AO8-MTOM_Data!AO8</f>
        <v>4.8150541260838509E-5</v>
      </c>
      <c r="AP8" s="12">
        <f>'24MS_Data'!AP8-MTOM_Data!AP8</f>
        <v>6.4176788328040857E-9</v>
      </c>
      <c r="AQ8" s="11">
        <f>'24MS_Data'!AQ8-MTOM_Data!AQ8</f>
        <v>1.1382326192688197E-9</v>
      </c>
      <c r="AR8" s="11">
        <f>'24MS_Data'!AR8-MTOM_Data!AR8</f>
        <v>4.873424768447876E-5</v>
      </c>
      <c r="AS8" s="11">
        <f>'24MS_Data'!AS8-MTOM_Data!AS8</f>
        <v>3.352775820530951E-6</v>
      </c>
      <c r="AT8" s="13">
        <f>'24MS_Data'!AT8-MTOM_Data!AT8</f>
        <v>-8.6001818999648094E-9</v>
      </c>
      <c r="AU8" s="11">
        <f>'24MS_Data'!AU8-MTOM_Data!AU8</f>
        <v>-4.9796653911471367E-8</v>
      </c>
      <c r="AV8" s="13">
        <f>'24MS_Data'!AV8-MTOM_Data!AV8</f>
        <v>-5.2008545026183128E-8</v>
      </c>
    </row>
    <row r="9" spans="1:48" x14ac:dyDescent="0.25">
      <c r="A9" s="49">
        <f t="shared" si="0"/>
        <v>44347</v>
      </c>
      <c r="B9" s="10">
        <f>'24MS_Data'!B9-MTOM_Data!B9</f>
        <v>4.1336589007314615</v>
      </c>
      <c r="C9" s="11">
        <f>'24MS_Data'!C9-MTOM_Data!C9</f>
        <v>0</v>
      </c>
      <c r="D9" s="11">
        <f>'24MS_Data'!D9-MTOM_Data!D9</f>
        <v>-7.0834832379280144</v>
      </c>
      <c r="E9" s="11">
        <f>'24MS_Data'!E9-MTOM_Data!E9</f>
        <v>0</v>
      </c>
      <c r="F9" s="10">
        <f>'24MS_Data'!F9-MTOM_Data!F9</f>
        <v>1.6045993102216016</v>
      </c>
      <c r="G9" s="11">
        <f>'24MS_Data'!G9-MTOM_Data!G9</f>
        <v>-7.0834832379272257</v>
      </c>
      <c r="H9" s="11">
        <f>'24MS_Data'!H9-MTOM_Data!H9</f>
        <v>0</v>
      </c>
      <c r="I9" s="11">
        <f>'24MS_Data'!I9-MTOM_Data!I9</f>
        <v>-47.004793388303511</v>
      </c>
      <c r="J9" s="12">
        <f>'24MS_Data'!J9-MTOM_Data!J9</f>
        <v>0</v>
      </c>
      <c r="K9" s="11">
        <f>'24MS_Data'!K9-MTOM_Data!K9</f>
        <v>-9.0197577107101097</v>
      </c>
      <c r="L9" s="11">
        <f>'24MS_Data'!L9-MTOM_Data!L9</f>
        <v>0</v>
      </c>
      <c r="M9" s="11">
        <f>'24MS_Data'!M9-MTOM_Data!M9</f>
        <v>6.3140495867768678</v>
      </c>
      <c r="N9" s="10">
        <f>'24MS_Data'!N9-MTOM_Data!N9</f>
        <v>7.5022497888030557</v>
      </c>
      <c r="O9" s="11">
        <f>'24MS_Data'!O9-MTOM_Data!O9</f>
        <v>6.3140495868815378</v>
      </c>
      <c r="P9" s="11">
        <f>'24MS_Data'!P9-MTOM_Data!P9</f>
        <v>0</v>
      </c>
      <c r="Q9" s="11">
        <f>'24MS_Data'!Q9-MTOM_Data!Q9</f>
        <v>-39.117428000853593</v>
      </c>
      <c r="R9" s="12">
        <f>'24MS_Data'!R9-MTOM_Data!R9</f>
        <v>-39.167168799063568</v>
      </c>
      <c r="S9" s="11">
        <f>'24MS_Data'!S9-MTOM_Data!S9</f>
        <v>-3.4066457021062888</v>
      </c>
      <c r="T9" s="11">
        <f>'24MS_Data'!T9-MTOM_Data!T9</f>
        <v>-39.109768460570564</v>
      </c>
      <c r="U9" s="11">
        <f>'24MS_Data'!U9-MTOM_Data!U9</f>
        <v>0</v>
      </c>
      <c r="V9" s="10">
        <f>'24MS_Data'!V9-MTOM_Data!V9</f>
        <v>-8.968017795614287</v>
      </c>
      <c r="W9" s="11">
        <f>'24MS_Data'!W9-MTOM_Data!W9</f>
        <v>0</v>
      </c>
      <c r="X9" s="12">
        <f>'24MS_Data'!X9-MTOM_Data!X9</f>
        <v>27.195371969999037</v>
      </c>
      <c r="Y9" s="11">
        <f>'24MS_Data'!Y9-MTOM_Data!Y9</f>
        <v>3.0494264434601064</v>
      </c>
      <c r="Z9" s="11">
        <f>'24MS_Data'!Z9-MTOM_Data!Z9</f>
        <v>27.195371969971902</v>
      </c>
      <c r="AA9" s="11">
        <f>'24MS_Data'!AA9-MTOM_Data!AA9</f>
        <v>0</v>
      </c>
      <c r="AB9" s="11">
        <f>'24MS_Data'!AB9-MTOM_Data!AB9</f>
        <v>-3.070661157024773</v>
      </c>
      <c r="AC9" s="11">
        <f>'24MS_Data'!AC9-MTOM_Data!AC9</f>
        <v>0</v>
      </c>
      <c r="AD9" s="10">
        <f>'24MS_Data'!AD9-MTOM_Data!AD9</f>
        <v>-1.521764141589756</v>
      </c>
      <c r="AE9" s="11">
        <f>'24MS_Data'!AE9-MTOM_Data!AE9</f>
        <v>-123.29156955188228</v>
      </c>
      <c r="AF9" s="11">
        <f>'24MS_Data'!AF9-MTOM_Data!AF9</f>
        <v>-89.185223006550245</v>
      </c>
      <c r="AG9" s="11">
        <f>'24MS_Data'!AG9-MTOM_Data!AG9</f>
        <v>0</v>
      </c>
      <c r="AH9" s="11">
        <f>'24MS_Data'!AH9-MTOM_Data!AH9</f>
        <v>-0.18817118096214713</v>
      </c>
      <c r="AI9" s="11">
        <f>'24MS_Data'!AI9-MTOM_Data!AI9</f>
        <v>0.35526280885881079</v>
      </c>
      <c r="AJ9" s="12">
        <f>'24MS_Data'!AJ9-MTOM_Data!AJ9</f>
        <v>0</v>
      </c>
      <c r="AK9" s="11">
        <f>'24MS_Data'!AK9-MTOM_Data!AK9</f>
        <v>4.0383024625043618E-3</v>
      </c>
      <c r="AL9" s="11">
        <f>'24MS_Data'!AL9-MTOM_Data!AL9</f>
        <v>8.8175293058156967E-6</v>
      </c>
      <c r="AM9" s="11">
        <f>'24MS_Data'!AM9-MTOM_Data!AM9</f>
        <v>1.7593199644920787E-3</v>
      </c>
      <c r="AN9" s="10">
        <f>'24MS_Data'!AN9-MTOM_Data!AN9</f>
        <v>6.1504579207394272E-10</v>
      </c>
      <c r="AO9" s="11">
        <f>'24MS_Data'!AO9-MTOM_Data!AO9</f>
        <v>-5.029141902923584E-8</v>
      </c>
      <c r="AP9" s="12">
        <f>'24MS_Data'!AP9-MTOM_Data!AP9</f>
        <v>1.5648993212380446E-9</v>
      </c>
      <c r="AQ9" s="11">
        <f>'24MS_Data'!AQ9-MTOM_Data!AQ9</f>
        <v>5.6843418860808015E-12</v>
      </c>
      <c r="AR9" s="11">
        <f>'24MS_Data'!AR9-MTOM_Data!AR9</f>
        <v>-9.5926225185394287E-8</v>
      </c>
      <c r="AS9" s="11">
        <f>'24MS_Data'!AS9-MTOM_Data!AS9</f>
        <v>5.3492840379476547E-8</v>
      </c>
      <c r="AT9" s="13">
        <f>'24MS_Data'!AT9-MTOM_Data!AT9</f>
        <v>-7.1922841016203165E-9</v>
      </c>
      <c r="AU9" s="11">
        <f>'24MS_Data'!AU9-MTOM_Data!AU9</f>
        <v>4.876346793025732E-8</v>
      </c>
      <c r="AV9" s="13">
        <f>'24MS_Data'!AV9-MTOM_Data!AV9</f>
        <v>-5.4133124649524689E-9</v>
      </c>
    </row>
    <row r="10" spans="1:48" x14ac:dyDescent="0.25">
      <c r="A10" s="49">
        <f t="shared" si="0"/>
        <v>44377</v>
      </c>
      <c r="B10" s="10">
        <f>'24MS_Data'!B10-MTOM_Data!B10</f>
        <v>-0.38682814815911115</v>
      </c>
      <c r="C10" s="11">
        <f>'24MS_Data'!C10-MTOM_Data!C10</f>
        <v>0</v>
      </c>
      <c r="D10" s="11">
        <f>'24MS_Data'!D10-MTOM_Data!D10</f>
        <v>24.839529424031483</v>
      </c>
      <c r="E10" s="11">
        <f>'24MS_Data'!E10-MTOM_Data!E10</f>
        <v>0</v>
      </c>
      <c r="F10" s="10">
        <f>'24MS_Data'!F10-MTOM_Data!F10</f>
        <v>2.5766267889066512</v>
      </c>
      <c r="G10" s="11">
        <f>'24MS_Data'!G10-MTOM_Data!G10</f>
        <v>24.839529424029891</v>
      </c>
      <c r="H10" s="11">
        <f>'24MS_Data'!H10-MTOM_Data!H10</f>
        <v>0</v>
      </c>
      <c r="I10" s="11">
        <f>'24MS_Data'!I10-MTOM_Data!I10</f>
        <v>-12.30206611550598</v>
      </c>
      <c r="J10" s="12">
        <f>'24MS_Data'!J10-MTOM_Data!J10</f>
        <v>0</v>
      </c>
      <c r="K10" s="11">
        <f>'24MS_Data'!K10-MTOM_Data!K10</f>
        <v>-10.901611940955263</v>
      </c>
      <c r="L10" s="11">
        <f>'24MS_Data'!L10-MTOM_Data!L10</f>
        <v>0</v>
      </c>
      <c r="M10" s="11">
        <f>'24MS_Data'!M10-MTOM_Data!M10</f>
        <v>5.1239669421487477</v>
      </c>
      <c r="N10" s="10">
        <f>'24MS_Data'!N10-MTOM_Data!N10</f>
        <v>1.9655315388108647</v>
      </c>
      <c r="O10" s="11">
        <f>'24MS_Data'!O10-MTOM_Data!O10</f>
        <v>5.1239669421904352</v>
      </c>
      <c r="P10" s="11">
        <f>'24MS_Data'!P10-MTOM_Data!P10</f>
        <v>0</v>
      </c>
      <c r="Q10" s="11">
        <f>'24MS_Data'!Q10-MTOM_Data!Q10</f>
        <v>43.233490723355466</v>
      </c>
      <c r="R10" s="12">
        <f>'24MS_Data'!R10-MTOM_Data!R10</f>
        <v>0</v>
      </c>
      <c r="S10" s="11">
        <f>'24MS_Data'!S10-MTOM_Data!S10</f>
        <v>-3.4012817470193113</v>
      </c>
      <c r="T10" s="11">
        <f>'24MS_Data'!T10-MTOM_Data!T10</f>
        <v>43.233107401990353</v>
      </c>
      <c r="U10" s="11">
        <f>'24MS_Data'!U10-MTOM_Data!U10</f>
        <v>0</v>
      </c>
      <c r="V10" s="10">
        <f>'24MS_Data'!V10-MTOM_Data!V10</f>
        <v>-21.359437985111072</v>
      </c>
      <c r="W10" s="11">
        <f>'24MS_Data'!W10-MTOM_Data!W10</f>
        <v>0</v>
      </c>
      <c r="X10" s="12">
        <f>'24MS_Data'!X10-MTOM_Data!X10</f>
        <v>33.179686700842097</v>
      </c>
      <c r="Y10" s="11">
        <f>'24MS_Data'!Y10-MTOM_Data!Y10</f>
        <v>6.088912012955916</v>
      </c>
      <c r="Z10" s="11">
        <f>'24MS_Data'!Z10-MTOM_Data!Z10</f>
        <v>33.179686700755695</v>
      </c>
      <c r="AA10" s="11">
        <f>'24MS_Data'!AA10-MTOM_Data!AA10</f>
        <v>0</v>
      </c>
      <c r="AB10" s="11">
        <f>'24MS_Data'!AB10-MTOM_Data!AB10</f>
        <v>-2.9764462809917127</v>
      </c>
      <c r="AC10" s="11">
        <f>'24MS_Data'!AC10-MTOM_Data!AC10</f>
        <v>0</v>
      </c>
      <c r="AD10" s="10">
        <f>'24MS_Data'!AD10-MTOM_Data!AD10</f>
        <v>-1.1475515069646463</v>
      </c>
      <c r="AE10" s="11">
        <f>'24MS_Data'!AE10-MTOM_Data!AE10</f>
        <v>-97.063891429628711</v>
      </c>
      <c r="AF10" s="11">
        <f>'24MS_Data'!AF10-MTOM_Data!AF10</f>
        <v>27.954595004924613</v>
      </c>
      <c r="AG10" s="11">
        <f>'24MS_Data'!AG10-MTOM_Data!AG10</f>
        <v>0</v>
      </c>
      <c r="AH10" s="11">
        <f>'24MS_Data'!AH10-MTOM_Data!AH10</f>
        <v>-0.37129744997605485</v>
      </c>
      <c r="AI10" s="11">
        <f>'24MS_Data'!AI10-MTOM_Data!AI10</f>
        <v>2.9615421226480976E-10</v>
      </c>
      <c r="AJ10" s="12">
        <f>'24MS_Data'!AJ10-MTOM_Data!AJ10</f>
        <v>0</v>
      </c>
      <c r="AK10" s="11">
        <f>'24MS_Data'!AK10-MTOM_Data!AK10</f>
        <v>4.0947944780782564E-3</v>
      </c>
      <c r="AL10" s="11">
        <f>'24MS_Data'!AL10-MTOM_Data!AL10</f>
        <v>-5.6415214203298092E-5</v>
      </c>
      <c r="AM10" s="11">
        <f>'24MS_Data'!AM10-MTOM_Data!AM10</f>
        <v>3.4474693184733951E-3</v>
      </c>
      <c r="AN10" s="10">
        <f>'24MS_Data'!AN10-MTOM_Data!AN10</f>
        <v>6.1720584199065343E-10</v>
      </c>
      <c r="AO10" s="11">
        <f>'24MS_Data'!AO10-MTOM_Data!AO10</f>
        <v>-4.9560330808162689E-6</v>
      </c>
      <c r="AP10" s="12">
        <f>'24MS_Data'!AP10-MTOM_Data!AP10</f>
        <v>4.6371440021175658E-10</v>
      </c>
      <c r="AQ10" s="11">
        <f>'24MS_Data'!AQ10-MTOM_Data!AQ10</f>
        <v>1.2221335055073723E-11</v>
      </c>
      <c r="AR10" s="11">
        <f>'24MS_Data'!AR10-MTOM_Data!AR10</f>
        <v>-4.152185283601284E-6</v>
      </c>
      <c r="AS10" s="11">
        <f>'24MS_Data'!AS10-MTOM_Data!AS10</f>
        <v>-2.7328496798872948E-7</v>
      </c>
      <c r="AT10" s="13">
        <f>'24MS_Data'!AT10-MTOM_Data!AT10</f>
        <v>-2.0711013348773122E-8</v>
      </c>
      <c r="AU10" s="11">
        <f>'24MS_Data'!AU10-MTOM_Data!AU10</f>
        <v>7.6630385592579842E-8</v>
      </c>
      <c r="AV10" s="13">
        <f>'24MS_Data'!AV10-MTOM_Data!AV10</f>
        <v>3.9726728573441505E-8</v>
      </c>
    </row>
    <row r="11" spans="1:48" x14ac:dyDescent="0.25">
      <c r="A11" s="49">
        <f t="shared" si="0"/>
        <v>44408</v>
      </c>
      <c r="B11" s="10">
        <f>'24MS_Data'!B11-MTOM_Data!B11</f>
        <v>-1.609054855541217</v>
      </c>
      <c r="C11" s="11">
        <f>'24MS_Data'!C11-MTOM_Data!C11</f>
        <v>0</v>
      </c>
      <c r="D11" s="11">
        <f>'24MS_Data'!D11-MTOM_Data!D11</f>
        <v>9.8912825221151621</v>
      </c>
      <c r="E11" s="11">
        <f>'24MS_Data'!E11-MTOM_Data!E11</f>
        <v>0</v>
      </c>
      <c r="F11" s="10">
        <f>'24MS_Data'!F11-MTOM_Data!F11</f>
        <v>3.1749100211591212</v>
      </c>
      <c r="G11" s="11">
        <f>'24MS_Data'!G11-MTOM_Data!G11</f>
        <v>9.8912825222203793</v>
      </c>
      <c r="H11" s="11">
        <f>'24MS_Data'!H11-MTOM_Data!H11</f>
        <v>0</v>
      </c>
      <c r="I11" s="11">
        <f>'24MS_Data'!I11-MTOM_Data!I11</f>
        <v>-14.483884297520362</v>
      </c>
      <c r="J11" s="12">
        <f>'24MS_Data'!J11-MTOM_Data!J11</f>
        <v>0</v>
      </c>
      <c r="K11" s="11">
        <f>'24MS_Data'!K11-MTOM_Data!K11</f>
        <v>-16.210474808942308</v>
      </c>
      <c r="L11" s="11">
        <f>'24MS_Data'!L11-MTOM_Data!L11</f>
        <v>0</v>
      </c>
      <c r="M11" s="11">
        <f>'24MS_Data'!M11-MTOM_Data!M11</f>
        <v>8.1280991735537249</v>
      </c>
      <c r="N11" s="10">
        <f>'24MS_Data'!N11-MTOM_Data!N11</f>
        <v>5.8220689860454513</v>
      </c>
      <c r="O11" s="11">
        <f>'24MS_Data'!O11-MTOM_Data!O11</f>
        <v>8.1280991736027062</v>
      </c>
      <c r="P11" s="11">
        <f>'24MS_Data'!P11-MTOM_Data!P11</f>
        <v>0</v>
      </c>
      <c r="Q11" s="11">
        <f>'24MS_Data'!Q11-MTOM_Data!Q11</f>
        <v>-21.967090736341376</v>
      </c>
      <c r="R11" s="12">
        <f>'24MS_Data'!R11-MTOM_Data!R11</f>
        <v>0</v>
      </c>
      <c r="S11" s="11">
        <f>'24MS_Data'!S11-MTOM_Data!S11</f>
        <v>-3.4066457021081078</v>
      </c>
      <c r="T11" s="11">
        <f>'24MS_Data'!T11-MTOM_Data!T11</f>
        <v>-21.955462990535622</v>
      </c>
      <c r="U11" s="11">
        <f>'24MS_Data'!U11-MTOM_Data!U11</f>
        <v>0</v>
      </c>
      <c r="V11" s="10">
        <f>'24MS_Data'!V11-MTOM_Data!V11</f>
        <v>-25.978339956807758</v>
      </c>
      <c r="W11" s="11">
        <f>'24MS_Data'!W11-MTOM_Data!W11</f>
        <v>0</v>
      </c>
      <c r="X11" s="12">
        <f>'24MS_Data'!X11-MTOM_Data!X11</f>
        <v>6.8754533409219576</v>
      </c>
      <c r="Y11" s="11">
        <f>'24MS_Data'!Y11-MTOM_Data!Y11</f>
        <v>6.3951359550756024</v>
      </c>
      <c r="Z11" s="11">
        <f>'24MS_Data'!Z11-MTOM_Data!Z11</f>
        <v>6.8754533408800285</v>
      </c>
      <c r="AA11" s="11">
        <f>'24MS_Data'!AA11-MTOM_Data!AA11</f>
        <v>0</v>
      </c>
      <c r="AB11" s="11">
        <f>'24MS_Data'!AB11-MTOM_Data!AB11</f>
        <v>4.7593388429752288</v>
      </c>
      <c r="AC11" s="11">
        <f>'24MS_Data'!AC11-MTOM_Data!AC11</f>
        <v>0</v>
      </c>
      <c r="AD11" s="10">
        <f>'24MS_Data'!AD11-MTOM_Data!AD11</f>
        <v>-1.5014401964649551</v>
      </c>
      <c r="AE11" s="11">
        <f>'24MS_Data'!AE11-MTOM_Data!AE11</f>
        <v>-125.99345965258908</v>
      </c>
      <c r="AF11" s="11">
        <f>'24MS_Data'!AF11-MTOM_Data!AF11</f>
        <v>-31.680008444881992</v>
      </c>
      <c r="AG11" s="11">
        <f>'24MS_Data'!AG11-MTOM_Data!AG11</f>
        <v>0</v>
      </c>
      <c r="AH11" s="11">
        <f>'24MS_Data'!AH11-MTOM_Data!AH11</f>
        <v>-0.43607544703066026</v>
      </c>
      <c r="AI11" s="11">
        <f>'24MS_Data'!AI11-MTOM_Data!AI11</f>
        <v>-2.9137936508050188E-10</v>
      </c>
      <c r="AJ11" s="12">
        <f>'24MS_Data'!AJ11-MTOM_Data!AJ11</f>
        <v>0</v>
      </c>
      <c r="AK11" s="11">
        <f>'24MS_Data'!AK11-MTOM_Data!AK11</f>
        <v>4.1082244888457353E-3</v>
      </c>
      <c r="AL11" s="11">
        <f>'24MS_Data'!AL11-MTOM_Data!AL11</f>
        <v>4.8173009417951107E-5</v>
      </c>
      <c r="AM11" s="11">
        <f>'24MS_Data'!AM11-MTOM_Data!AM11</f>
        <v>3.2234708926353051E-3</v>
      </c>
      <c r="AN11" s="10">
        <f>'24MS_Data'!AN11-MTOM_Data!AN11</f>
        <v>7.7216100180521607E-10</v>
      </c>
      <c r="AO11" s="11">
        <f>'24MS_Data'!AO11-MTOM_Data!AO11</f>
        <v>4.8148096539080143E-5</v>
      </c>
      <c r="AP11" s="12">
        <f>'24MS_Data'!AP11-MTOM_Data!AP11</f>
        <v>5.6095927902788389E-9</v>
      </c>
      <c r="AQ11" s="11">
        <f>'24MS_Data'!AQ11-MTOM_Data!AQ11</f>
        <v>3.9676706364843994E-11</v>
      </c>
      <c r="AR11" s="11">
        <f>'24MS_Data'!AR11-MTOM_Data!AR11</f>
        <v>4.7841574996709824E-5</v>
      </c>
      <c r="AS11" s="11">
        <f>'24MS_Data'!AS11-MTOM_Data!AS11</f>
        <v>3.3225223887711763E-6</v>
      </c>
      <c r="AT11" s="13">
        <f>'24MS_Data'!AT11-MTOM_Data!AT11</f>
        <v>8.25311872176826E-8</v>
      </c>
      <c r="AU11" s="11">
        <f>'24MS_Data'!AU11-MTOM_Data!AU11</f>
        <v>-1.9426806829869747E-8</v>
      </c>
      <c r="AV11" s="13">
        <f>'24MS_Data'!AV11-MTOM_Data!AV11</f>
        <v>-7.0613168645650148E-8</v>
      </c>
    </row>
    <row r="12" spans="1:48" x14ac:dyDescent="0.25">
      <c r="A12" s="49">
        <f t="shared" si="0"/>
        <v>44439</v>
      </c>
      <c r="B12" s="10">
        <f>'24MS_Data'!B12-MTOM_Data!B12</f>
        <v>1.3242919177837393</v>
      </c>
      <c r="C12" s="11">
        <f>'24MS_Data'!C12-MTOM_Data!C12</f>
        <v>0</v>
      </c>
      <c r="D12" s="11">
        <f>'24MS_Data'!D12-MTOM_Data!D12</f>
        <v>-22.938717477884794</v>
      </c>
      <c r="E12" s="11">
        <f>'24MS_Data'!E12-MTOM_Data!E12</f>
        <v>0</v>
      </c>
      <c r="F12" s="10">
        <f>'24MS_Data'!F12-MTOM_Data!F12</f>
        <v>2.2673485361710846</v>
      </c>
      <c r="G12" s="11">
        <f>'24MS_Data'!G12-MTOM_Data!G12</f>
        <v>-22.938717477867385</v>
      </c>
      <c r="H12" s="11">
        <f>'24MS_Data'!H12-MTOM_Data!H12</f>
        <v>0</v>
      </c>
      <c r="I12" s="11">
        <f>'24MS_Data'!I12-MTOM_Data!I12</f>
        <v>12.296115702479668</v>
      </c>
      <c r="J12" s="12">
        <f>'24MS_Data'!J12-MTOM_Data!J12</f>
        <v>0</v>
      </c>
      <c r="K12" s="11">
        <f>'24MS_Data'!K12-MTOM_Data!K12</f>
        <v>-20.162626440884196</v>
      </c>
      <c r="L12" s="11">
        <f>'24MS_Data'!L12-MTOM_Data!L12</f>
        <v>0</v>
      </c>
      <c r="M12" s="11">
        <f>'24MS_Data'!M12-MTOM_Data!M12</f>
        <v>3.6280991735537107</v>
      </c>
      <c r="N12" s="10">
        <f>'24MS_Data'!N12-MTOM_Data!N12</f>
        <v>8.956833679149895</v>
      </c>
      <c r="O12" s="11">
        <f>'24MS_Data'!O12-MTOM_Data!O12</f>
        <v>3.6280991735257118</v>
      </c>
      <c r="P12" s="11">
        <f>'24MS_Data'!P12-MTOM_Data!P12</f>
        <v>0</v>
      </c>
      <c r="Q12" s="11">
        <f>'24MS_Data'!Q12-MTOM_Data!Q12</f>
        <v>-18.892745160402654</v>
      </c>
      <c r="R12" s="12">
        <f>'24MS_Data'!R12-MTOM_Data!R12</f>
        <v>0</v>
      </c>
      <c r="S12" s="11">
        <f>'24MS_Data'!S12-MTOM_Data!S12</f>
        <v>-3.4066457021126553</v>
      </c>
      <c r="T12" s="11">
        <f>'24MS_Data'!T12-MTOM_Data!T12</f>
        <v>-18.888349412619348</v>
      </c>
      <c r="U12" s="11">
        <f>'24MS_Data'!U12-MTOM_Data!U12</f>
        <v>0</v>
      </c>
      <c r="V12" s="10">
        <f>'24MS_Data'!V12-MTOM_Data!V12</f>
        <v>-31.464964146442071</v>
      </c>
      <c r="W12" s="11">
        <f>'24MS_Data'!W12-MTOM_Data!W12</f>
        <v>0</v>
      </c>
      <c r="X12" s="12">
        <f>'24MS_Data'!X12-MTOM_Data!X12</f>
        <v>2.1972763881024449</v>
      </c>
      <c r="Y12" s="11">
        <f>'24MS_Data'!Y12-MTOM_Data!Y12</f>
        <v>5.9994048270764324</v>
      </c>
      <c r="Z12" s="11">
        <f>'24MS_Data'!Z12-MTOM_Data!Z12</f>
        <v>2.197276388143969</v>
      </c>
      <c r="AA12" s="11">
        <f>'24MS_Data'!AA12-MTOM_Data!AA12</f>
        <v>0</v>
      </c>
      <c r="AB12" s="11">
        <f>'24MS_Data'!AB12-MTOM_Data!AB12</f>
        <v>7.7393388429752328</v>
      </c>
      <c r="AC12" s="11">
        <f>'24MS_Data'!AC12-MTOM_Data!AC12</f>
        <v>0</v>
      </c>
      <c r="AD12" s="10">
        <f>'24MS_Data'!AD12-MTOM_Data!AD12</f>
        <v>-1.5195755251465926</v>
      </c>
      <c r="AE12" s="11">
        <f>'24MS_Data'!AE12-MTOM_Data!AE12</f>
        <v>-124.47571282790705</v>
      </c>
      <c r="AF12" s="11">
        <f>'24MS_Data'!AF12-MTOM_Data!AF12</f>
        <v>1.147105133094044</v>
      </c>
      <c r="AG12" s="11">
        <f>'24MS_Data'!AG12-MTOM_Data!AG12</f>
        <v>0</v>
      </c>
      <c r="AH12" s="11">
        <f>'24MS_Data'!AH12-MTOM_Data!AH12</f>
        <v>-0.49206152191796804</v>
      </c>
      <c r="AI12" s="11">
        <f>'24MS_Data'!AI12-MTOM_Data!AI12</f>
        <v>1.6484591469634324E-11</v>
      </c>
      <c r="AJ12" s="12">
        <f>'24MS_Data'!AJ12-MTOM_Data!AJ12</f>
        <v>0</v>
      </c>
      <c r="AK12" s="11">
        <f>'24MS_Data'!AK12-MTOM_Data!AK12</f>
        <v>4.0944075774405064E-3</v>
      </c>
      <c r="AL12" s="11">
        <f>'24MS_Data'!AL12-MTOM_Data!AL12</f>
        <v>4.5690685510635376E-6</v>
      </c>
      <c r="AM12" s="11">
        <f>'24MS_Data'!AM12-MTOM_Data!AM12</f>
        <v>2.9562992940554977E-3</v>
      </c>
      <c r="AN12" s="10">
        <f>'24MS_Data'!AN12-MTOM_Data!AN12</f>
        <v>9.425775715499185E-10</v>
      </c>
      <c r="AO12" s="11">
        <f>'24MS_Data'!AO12-MTOM_Data!AO12</f>
        <v>4.7554494813084602E-6</v>
      </c>
      <c r="AP12" s="12">
        <f>'24MS_Data'!AP12-MTOM_Data!AP12</f>
        <v>6.5422511852375465E-10</v>
      </c>
      <c r="AQ12" s="11">
        <f>'24MS_Data'!AQ12-MTOM_Data!AQ12</f>
        <v>1.4808847481617704E-9</v>
      </c>
      <c r="AR12" s="11">
        <f>'24MS_Data'!AR12-MTOM_Data!AR12</f>
        <v>4.5985216274857521E-6</v>
      </c>
      <c r="AS12" s="11">
        <f>'24MS_Data'!AS12-MTOM_Data!AS12</f>
        <v>3.2932439353317022E-7</v>
      </c>
      <c r="AT12" s="13">
        <f>'24MS_Data'!AT12-MTOM_Data!AT12</f>
        <v>-3.4655386116355658E-8</v>
      </c>
      <c r="AU12" s="11">
        <f>'24MS_Data'!AU12-MTOM_Data!AU12</f>
        <v>-1.9426806829869747E-8</v>
      </c>
      <c r="AV12" s="13">
        <f>'24MS_Data'!AV12-MTOM_Data!AV12</f>
        <v>-7.0613168645650148E-8</v>
      </c>
    </row>
    <row r="13" spans="1:48" x14ac:dyDescent="0.25">
      <c r="A13" s="49">
        <f t="shared" si="0"/>
        <v>44469</v>
      </c>
      <c r="B13" s="10">
        <f>'24MS_Data'!B13-MTOM_Data!B13</f>
        <v>2.1772455390810137</v>
      </c>
      <c r="C13" s="11">
        <f>'24MS_Data'!C13-MTOM_Data!C13</f>
        <v>0</v>
      </c>
      <c r="D13" s="11">
        <f>'24MS_Data'!D13-MTOM_Data!D13</f>
        <v>-5.9354129943675176</v>
      </c>
      <c r="E13" s="11">
        <f>'24MS_Data'!E13-MTOM_Data!E13</f>
        <v>-5.6046526464212718</v>
      </c>
      <c r="F13" s="10">
        <f>'24MS_Data'!F13-MTOM_Data!F13</f>
        <v>2.2668636936132316</v>
      </c>
      <c r="G13" s="11">
        <f>'24MS_Data'!G13-MTOM_Data!G13</f>
        <v>-5.9354129944516529</v>
      </c>
      <c r="H13" s="11">
        <f>'24MS_Data'!H13-MTOM_Data!H13</f>
        <v>0</v>
      </c>
      <c r="I13" s="11">
        <f>'24MS_Data'!I13-MTOM_Data!I13</f>
        <v>-5.4539340394616147</v>
      </c>
      <c r="J13" s="12">
        <f>'24MS_Data'!J13-MTOM_Data!J13</f>
        <v>0</v>
      </c>
      <c r="K13" s="11">
        <f>'24MS_Data'!K13-MTOM_Data!K13</f>
        <v>-24.447318569553318</v>
      </c>
      <c r="L13" s="11">
        <f>'24MS_Data'!L13-MTOM_Data!L13</f>
        <v>0</v>
      </c>
      <c r="M13" s="11">
        <f>'24MS_Data'!M13-MTOM_Data!M13</f>
        <v>1.6303230413043828</v>
      </c>
      <c r="N13" s="10">
        <f>'24MS_Data'!N13-MTOM_Data!N13</f>
        <v>10.213564259895065</v>
      </c>
      <c r="O13" s="11">
        <f>'24MS_Data'!O13-MTOM_Data!O13</f>
        <v>1.6303230413044076</v>
      </c>
      <c r="P13" s="11">
        <f>'24MS_Data'!P13-MTOM_Data!P13</f>
        <v>0</v>
      </c>
      <c r="Q13" s="11">
        <f>'24MS_Data'!Q13-MTOM_Data!Q13</f>
        <v>-5.4170006347868878</v>
      </c>
      <c r="R13" s="12">
        <f>'24MS_Data'!R13-MTOM_Data!R13</f>
        <v>0</v>
      </c>
      <c r="S13" s="11">
        <f>'24MS_Data'!S13-MTOM_Data!S13</f>
        <v>-3.4028864534375316</v>
      </c>
      <c r="T13" s="11">
        <f>'24MS_Data'!T13-MTOM_Data!T13</f>
        <v>-5.4172691893548119</v>
      </c>
      <c r="U13" s="11">
        <f>'24MS_Data'!U13-MTOM_Data!U13</f>
        <v>-5.5160100005333987</v>
      </c>
      <c r="V13" s="10">
        <f>'24MS_Data'!V13-MTOM_Data!V13</f>
        <v>-40.553933561179292</v>
      </c>
      <c r="W13" s="11">
        <f>'24MS_Data'!W13-MTOM_Data!W13</f>
        <v>0</v>
      </c>
      <c r="X13" s="12">
        <f>'24MS_Data'!X13-MTOM_Data!X13</f>
        <v>2.4974252089107019</v>
      </c>
      <c r="Y13" s="11">
        <f>'24MS_Data'!Y13-MTOM_Data!Y13</f>
        <v>6.0458717780047664</v>
      </c>
      <c r="Z13" s="11">
        <f>'24MS_Data'!Z13-MTOM_Data!Z13</f>
        <v>2.4974252090098759</v>
      </c>
      <c r="AA13" s="11">
        <f>'24MS_Data'!AA13-MTOM_Data!AA13</f>
        <v>0</v>
      </c>
      <c r="AB13" s="11">
        <f>'24MS_Data'!AB13-MTOM_Data!AB13</f>
        <v>2.0835537190082754</v>
      </c>
      <c r="AC13" s="11">
        <f>'24MS_Data'!AC13-MTOM_Data!AC13</f>
        <v>0</v>
      </c>
      <c r="AD13" s="10">
        <f>'24MS_Data'!AD13-MTOM_Data!AD13</f>
        <v>-1.6327165002012407</v>
      </c>
      <c r="AE13" s="11">
        <f>'24MS_Data'!AE13-MTOM_Data!AE13</f>
        <v>-131.8488781118067</v>
      </c>
      <c r="AF13" s="11">
        <f>'24MS_Data'!AF13-MTOM_Data!AF13</f>
        <v>-8.7876495096045915</v>
      </c>
      <c r="AG13" s="11">
        <f>'24MS_Data'!AG13-MTOM_Data!AG13</f>
        <v>0</v>
      </c>
      <c r="AH13" s="11">
        <f>'24MS_Data'!AH13-MTOM_Data!AH13</f>
        <v>-0.46963115137904765</v>
      </c>
      <c r="AI13" s="11">
        <f>'24MS_Data'!AI13-MTOM_Data!AI13</f>
        <v>-0.35500000039633051</v>
      </c>
      <c r="AJ13" s="12">
        <f>'24MS_Data'!AJ13-MTOM_Data!AJ13</f>
        <v>0</v>
      </c>
      <c r="AK13" s="11">
        <f>'24MS_Data'!AK13-MTOM_Data!AK13</f>
        <v>-4.9222909183299635E-5</v>
      </c>
      <c r="AL13" s="11">
        <f>'24MS_Data'!AL13-MTOM_Data!AL13</f>
        <v>4.5569613575935364E-6</v>
      </c>
      <c r="AM13" s="11">
        <f>'24MS_Data'!AM13-MTOM_Data!AM13</f>
        <v>1.2427772624050704E-3</v>
      </c>
      <c r="AN13" s="10">
        <f>'24MS_Data'!AN13-MTOM_Data!AN13</f>
        <v>-2.0816059986827895E-10</v>
      </c>
      <c r="AO13" s="11">
        <f>'24MS_Data'!AO13-MTOM_Data!AO13</f>
        <v>4.3337931856513023E-6</v>
      </c>
      <c r="AP13" s="12">
        <f>'24MS_Data'!AP13-MTOM_Data!AP13</f>
        <v>5.5860027714516036E-10</v>
      </c>
      <c r="AQ13" s="11">
        <f>'24MS_Data'!AQ13-MTOM_Data!AQ13</f>
        <v>1.8644641386345029E-11</v>
      </c>
      <c r="AR13" s="11">
        <f>'24MS_Data'!AR13-MTOM_Data!AR13</f>
        <v>4.1171442717313766E-6</v>
      </c>
      <c r="AS13" s="11">
        <f>'24MS_Data'!AS13-MTOM_Data!AS13</f>
        <v>3.2142270356416702E-7</v>
      </c>
      <c r="AT13" s="13">
        <f>'24MS_Data'!AT13-MTOM_Data!AT13</f>
        <v>-3.0013325158506632E-9</v>
      </c>
      <c r="AU13" s="11">
        <f>'24MS_Data'!AU13-MTOM_Data!AU13</f>
        <v>7.6630385592579842E-8</v>
      </c>
      <c r="AV13" s="13">
        <f>'24MS_Data'!AV13-MTOM_Data!AV13</f>
        <v>5.3551048040390015E-8</v>
      </c>
    </row>
    <row r="14" spans="1:48" x14ac:dyDescent="0.25">
      <c r="A14" s="49">
        <f t="shared" si="0"/>
        <v>44500</v>
      </c>
      <c r="B14" s="10">
        <f>'24MS_Data'!B14-MTOM_Data!B14</f>
        <v>3.084640787281387</v>
      </c>
      <c r="C14" s="11">
        <f>'24MS_Data'!C14-MTOM_Data!C14</f>
        <v>0</v>
      </c>
      <c r="D14" s="11">
        <f>'24MS_Data'!D14-MTOM_Data!D14</f>
        <v>-5.8219442919372284</v>
      </c>
      <c r="E14" s="11">
        <f>'24MS_Data'!E14-MTOM_Data!E14</f>
        <v>0</v>
      </c>
      <c r="F14" s="10">
        <f>'24MS_Data'!F14-MTOM_Data!F14</f>
        <v>2.9358340116314139</v>
      </c>
      <c r="G14" s="11">
        <f>'24MS_Data'!G14-MTOM_Data!G14</f>
        <v>-5.8219442918649946</v>
      </c>
      <c r="H14" s="11">
        <f>'24MS_Data'!H14-MTOM_Data!H14</f>
        <v>0</v>
      </c>
      <c r="I14" s="11">
        <f>'24MS_Data'!I14-MTOM_Data!I14</f>
        <v>-31.47473874430316</v>
      </c>
      <c r="J14" s="12">
        <f>'24MS_Data'!J14-MTOM_Data!J14</f>
        <v>0</v>
      </c>
      <c r="K14" s="11">
        <f>'24MS_Data'!K14-MTOM_Data!K14</f>
        <v>-29.329965649605583</v>
      </c>
      <c r="L14" s="11">
        <f>'24MS_Data'!L14-MTOM_Data!L14</f>
        <v>0</v>
      </c>
      <c r="M14" s="11">
        <f>'24MS_Data'!M14-MTOM_Data!M14</f>
        <v>3.7998200000027085</v>
      </c>
      <c r="N14" s="10">
        <f>'24MS_Data'!N14-MTOM_Data!N14</f>
        <v>7.3314221256759993</v>
      </c>
      <c r="O14" s="11">
        <f>'24MS_Data'!O14-MTOM_Data!O14</f>
        <v>3.7998199999682498</v>
      </c>
      <c r="P14" s="11">
        <f>'24MS_Data'!P14-MTOM_Data!P14</f>
        <v>0</v>
      </c>
      <c r="Q14" s="11">
        <f>'24MS_Data'!Q14-MTOM_Data!Q14</f>
        <v>26.025622725949013</v>
      </c>
      <c r="R14" s="12">
        <f>'24MS_Data'!R14-MTOM_Data!R14</f>
        <v>0</v>
      </c>
      <c r="S14" s="11">
        <f>'24MS_Data'!S14-MTOM_Data!S14</f>
        <v>-3.4066457021062888</v>
      </c>
      <c r="T14" s="11">
        <f>'24MS_Data'!T14-MTOM_Data!T14</f>
        <v>26.031858880714196</v>
      </c>
      <c r="U14" s="11">
        <f>'24MS_Data'!U14-MTOM_Data!U14</f>
        <v>0</v>
      </c>
      <c r="V14" s="10">
        <f>'24MS_Data'!V14-MTOM_Data!V14</f>
        <v>-45.200544977034951</v>
      </c>
      <c r="W14" s="11">
        <f>'24MS_Data'!W14-MTOM_Data!W14</f>
        <v>0</v>
      </c>
      <c r="X14" s="12">
        <f>'24MS_Data'!X14-MTOM_Data!X14</f>
        <v>2.1598853862530127</v>
      </c>
      <c r="Y14" s="11">
        <f>'24MS_Data'!Y14-MTOM_Data!Y14</f>
        <v>6.4440344363301847</v>
      </c>
      <c r="Z14" s="11">
        <f>'24MS_Data'!Z14-MTOM_Data!Z14</f>
        <v>2.1598853862980292</v>
      </c>
      <c r="AA14" s="11">
        <f>'24MS_Data'!AA14-MTOM_Data!AA14</f>
        <v>0</v>
      </c>
      <c r="AB14" s="11">
        <f>'24MS_Data'!AB14-MTOM_Data!AB14</f>
        <v>-2.7806611570247952</v>
      </c>
      <c r="AC14" s="11">
        <f>'24MS_Data'!AC14-MTOM_Data!AC14</f>
        <v>0</v>
      </c>
      <c r="AD14" s="10">
        <f>'24MS_Data'!AD14-MTOM_Data!AD14</f>
        <v>-1.7282864610583601</v>
      </c>
      <c r="AE14" s="11">
        <f>'24MS_Data'!AE14-MTOM_Data!AE14</f>
        <v>-139.14104573794248</v>
      </c>
      <c r="AF14" s="11">
        <f>'24MS_Data'!AF14-MTOM_Data!AF14</f>
        <v>-8.2235410213913269</v>
      </c>
      <c r="AG14" s="11">
        <f>'24MS_Data'!AG14-MTOM_Data!AG14</f>
        <v>0</v>
      </c>
      <c r="AH14" s="11">
        <f>'24MS_Data'!AH14-MTOM_Data!AH14</f>
        <v>-0.34800016629122865</v>
      </c>
      <c r="AI14" s="11">
        <f>'24MS_Data'!AI14-MTOM_Data!AI14</f>
        <v>-1.5421619536937214E-10</v>
      </c>
      <c r="AJ14" s="12">
        <f>'24MS_Data'!AJ14-MTOM_Data!AJ14</f>
        <v>0</v>
      </c>
      <c r="AK14" s="11">
        <f>'24MS_Data'!AK14-MTOM_Data!AK14</f>
        <v>-4.9334126288158586E-5</v>
      </c>
      <c r="AL14" s="11">
        <f>'24MS_Data'!AL14-MTOM_Data!AL14</f>
        <v>8.8033266365528107E-7</v>
      </c>
      <c r="AM14" s="11">
        <f>'24MS_Data'!AM14-MTOM_Data!AM14</f>
        <v>-2.3143212132481494E-5</v>
      </c>
      <c r="AN14" s="10">
        <f>'24MS_Data'!AN14-MTOM_Data!AN14</f>
        <v>-1.1004885891452432E-10</v>
      </c>
      <c r="AO14" s="11">
        <f>'24MS_Data'!AO14-MTOM_Data!AO14</f>
        <v>-5.5064447224140167E-7</v>
      </c>
      <c r="AP14" s="12">
        <f>'24MS_Data'!AP14-MTOM_Data!AP14</f>
        <v>2.5153212845907547E-12</v>
      </c>
      <c r="AQ14" s="11">
        <f>'24MS_Data'!AQ14-MTOM_Data!AQ14</f>
        <v>0</v>
      </c>
      <c r="AR14" s="11">
        <f>'24MS_Data'!AR14-MTOM_Data!AR14</f>
        <v>-9.3481503427028656E-8</v>
      </c>
      <c r="AS14" s="11">
        <f>'24MS_Data'!AS14-MTOM_Data!AS14</f>
        <v>-9.8043528851121664E-9</v>
      </c>
      <c r="AT14" s="13">
        <f>'24MS_Data'!AT14-MTOM_Data!AT14</f>
        <v>1.0629082680679858E-7</v>
      </c>
      <c r="AU14" s="11">
        <f>'24MS_Data'!AU14-MTOM_Data!AU14</f>
        <v>-1.9426806829869747E-8</v>
      </c>
      <c r="AV14" s="13">
        <f>'24MS_Data'!AV14-MTOM_Data!AV14</f>
        <v>-5.0116796046495438E-8</v>
      </c>
    </row>
    <row r="15" spans="1:48" x14ac:dyDescent="0.25">
      <c r="A15" s="49">
        <f t="shared" si="0"/>
        <v>44530</v>
      </c>
      <c r="B15" s="10">
        <f>'24MS_Data'!B15-MTOM_Data!B15</f>
        <v>2.73239716691387</v>
      </c>
      <c r="C15" s="11">
        <f>'24MS_Data'!C15-MTOM_Data!C15</f>
        <v>0</v>
      </c>
      <c r="D15" s="11">
        <f>'24MS_Data'!D15-MTOM_Data!D15</f>
        <v>3.289408749738584</v>
      </c>
      <c r="E15" s="11">
        <f>'24MS_Data'!E15-MTOM_Data!E15</f>
        <v>0</v>
      </c>
      <c r="F15" s="10">
        <f>'24MS_Data'!F15-MTOM_Data!F15</f>
        <v>3.825700137676904</v>
      </c>
      <c r="G15" s="11">
        <f>'24MS_Data'!G15-MTOM_Data!G15</f>
        <v>3.2894087498375768</v>
      </c>
      <c r="H15" s="11">
        <f>'24MS_Data'!H15-MTOM_Data!H15</f>
        <v>0</v>
      </c>
      <c r="I15" s="11">
        <f>'24MS_Data'!I15-MTOM_Data!I15</f>
        <v>-30.785245466799218</v>
      </c>
      <c r="J15" s="12">
        <f>'24MS_Data'!J15-MTOM_Data!J15</f>
        <v>0</v>
      </c>
      <c r="K15" s="11">
        <f>'24MS_Data'!K15-MTOM_Data!K15</f>
        <v>-28.376391797899487</v>
      </c>
      <c r="L15" s="11">
        <f>'24MS_Data'!L15-MTOM_Data!L15</f>
        <v>0</v>
      </c>
      <c r="M15" s="11">
        <f>'24MS_Data'!M15-MTOM_Data!M15</f>
        <v>-1.8683200000020266</v>
      </c>
      <c r="N15" s="10">
        <f>'24MS_Data'!N15-MTOM_Data!N15</f>
        <v>7.0606771934844801</v>
      </c>
      <c r="O15" s="11">
        <f>'24MS_Data'!O15-MTOM_Data!O15</f>
        <v>-1.8683199999247151</v>
      </c>
      <c r="P15" s="11">
        <f>'24MS_Data'!P15-MTOM_Data!P15</f>
        <v>0</v>
      </c>
      <c r="Q15" s="11">
        <f>'24MS_Data'!Q15-MTOM_Data!Q15</f>
        <v>-0.69225063949735066</v>
      </c>
      <c r="R15" s="12">
        <f>'24MS_Data'!R15-MTOM_Data!R15</f>
        <v>0</v>
      </c>
      <c r="S15" s="11">
        <f>'24MS_Data'!S15-MTOM_Data!S15</f>
        <v>-3.405681225913213</v>
      </c>
      <c r="T15" s="11">
        <f>'24MS_Data'!T15-MTOM_Data!T15</f>
        <v>-0.69231949968125051</v>
      </c>
      <c r="U15" s="11">
        <f>'24MS_Data'!U15-MTOM_Data!U15</f>
        <v>0</v>
      </c>
      <c r="V15" s="10">
        <f>'24MS_Data'!V15-MTOM_Data!V15</f>
        <v>-39.057943894735217</v>
      </c>
      <c r="W15" s="11">
        <f>'24MS_Data'!W15-MTOM_Data!W15</f>
        <v>0</v>
      </c>
      <c r="X15" s="12">
        <f>'24MS_Data'!X15-MTOM_Data!X15</f>
        <v>-3.2345479000058628</v>
      </c>
      <c r="Y15" s="11">
        <f>'24MS_Data'!Y15-MTOM_Data!Y15</f>
        <v>6.4079721317784788</v>
      </c>
      <c r="Z15" s="11">
        <f>'24MS_Data'!Z15-MTOM_Data!Z15</f>
        <v>-3.2345479000110657</v>
      </c>
      <c r="AA15" s="11">
        <f>'24MS_Data'!AA15-MTOM_Data!AA15</f>
        <v>0</v>
      </c>
      <c r="AB15" s="11">
        <f>'24MS_Data'!AB15-MTOM_Data!AB15</f>
        <v>-2.9764462809917127</v>
      </c>
      <c r="AC15" s="11">
        <f>'24MS_Data'!AC15-MTOM_Data!AC15</f>
        <v>0</v>
      </c>
      <c r="AD15" s="10">
        <f>'24MS_Data'!AD15-MTOM_Data!AD15</f>
        <v>-2.1326372202615858</v>
      </c>
      <c r="AE15" s="11">
        <f>'24MS_Data'!AE15-MTOM_Data!AE15</f>
        <v>-170.69423260377698</v>
      </c>
      <c r="AF15" s="11">
        <f>'24MS_Data'!AF15-MTOM_Data!AF15</f>
        <v>-34.454011246604921</v>
      </c>
      <c r="AG15" s="11">
        <f>'24MS_Data'!AG15-MTOM_Data!AG15</f>
        <v>0</v>
      </c>
      <c r="AH15" s="11">
        <f>'24MS_Data'!AH15-MTOM_Data!AH15</f>
        <v>-0.37657026652036052</v>
      </c>
      <c r="AI15" s="11">
        <f>'24MS_Data'!AI15-MTOM_Data!AI15</f>
        <v>-1.9406343199079856E-10</v>
      </c>
      <c r="AJ15" s="12">
        <f>'24MS_Data'!AJ15-MTOM_Data!AJ15</f>
        <v>0</v>
      </c>
      <c r="AK15" s="11">
        <f>'24MS_Data'!AK15-MTOM_Data!AK15</f>
        <v>-4.9665849928715033E-5</v>
      </c>
      <c r="AL15" s="11">
        <f>'24MS_Data'!AL15-MTOM_Data!AL15</f>
        <v>4.0900195017457008E-6</v>
      </c>
      <c r="AM15" s="11">
        <f>'24MS_Data'!AM15-MTOM_Data!AM15</f>
        <v>-2.8707187055942995E-5</v>
      </c>
      <c r="AN15" s="10">
        <f>'24MS_Data'!AN15-MTOM_Data!AN15</f>
        <v>1.5796786101418547E-9</v>
      </c>
      <c r="AO15" s="11">
        <f>'24MS_Data'!AO15-MTOM_Data!AO15</f>
        <v>4.9043446779251099E-6</v>
      </c>
      <c r="AP15" s="12">
        <f>'24MS_Data'!AP15-MTOM_Data!AP15</f>
        <v>5.4286886097543174E-10</v>
      </c>
      <c r="AQ15" s="11">
        <f>'24MS_Data'!AQ15-MTOM_Data!AQ15</f>
        <v>5.9685589803848416E-12</v>
      </c>
      <c r="AR15" s="11">
        <f>'24MS_Data'!AR15-MTOM_Data!AR15</f>
        <v>5.6087737902998924E-6</v>
      </c>
      <c r="AS15" s="11">
        <f>'24MS_Data'!AS15-MTOM_Data!AS15</f>
        <v>3.7656354834325612E-7</v>
      </c>
      <c r="AT15" s="13">
        <f>'24MS_Data'!AT15-MTOM_Data!AT15</f>
        <v>-7.2723196353763342E-9</v>
      </c>
      <c r="AU15" s="11">
        <f>'24MS_Data'!AU15-MTOM_Data!AU15</f>
        <v>7.6630385592579842E-8</v>
      </c>
      <c r="AV15" s="13">
        <f>'24MS_Data'!AV15-MTOM_Data!AV15</f>
        <v>-3.0238879844546318E-8</v>
      </c>
    </row>
    <row r="16" spans="1:48" x14ac:dyDescent="0.25">
      <c r="A16" s="49">
        <f t="shared" si="0"/>
        <v>44561</v>
      </c>
      <c r="B16" s="10">
        <f>'24MS_Data'!B16-MTOM_Data!B16</f>
        <v>2.4568529870657585</v>
      </c>
      <c r="C16" s="11">
        <f>'24MS_Data'!C16-MTOM_Data!C16</f>
        <v>0</v>
      </c>
      <c r="D16" s="11">
        <f>'24MS_Data'!D16-MTOM_Data!D16</f>
        <v>3.398055708063211</v>
      </c>
      <c r="E16" s="11">
        <f>'24MS_Data'!E16-MTOM_Data!E16</f>
        <v>0</v>
      </c>
      <c r="F16" s="10">
        <f>'24MS_Data'!F16-MTOM_Data!F16</f>
        <v>3.830476453645133</v>
      </c>
      <c r="G16" s="11">
        <f>'24MS_Data'!G16-MTOM_Data!G16</f>
        <v>3.3980557081282541</v>
      </c>
      <c r="H16" s="11">
        <f>'24MS_Data'!H16-MTOM_Data!H16</f>
        <v>0</v>
      </c>
      <c r="I16" s="11">
        <f>'24MS_Data'!I16-MTOM_Data!I16</f>
        <v>4.0654317827112578</v>
      </c>
      <c r="J16" s="12">
        <f>'24MS_Data'!J16-MTOM_Data!J16</f>
        <v>0</v>
      </c>
      <c r="K16" s="11">
        <f>'24MS_Data'!K16-MTOM_Data!K16</f>
        <v>-28.940994553804558</v>
      </c>
      <c r="L16" s="11">
        <f>'24MS_Data'!L16-MTOM_Data!L16</f>
        <v>0</v>
      </c>
      <c r="M16" s="11">
        <f>'24MS_Data'!M16-MTOM_Data!M16</f>
        <v>0.50000000000000444</v>
      </c>
      <c r="N16" s="10">
        <f>'24MS_Data'!N16-MTOM_Data!N16</f>
        <v>7.0525402210050743</v>
      </c>
      <c r="O16" s="11">
        <f>'24MS_Data'!O16-MTOM_Data!O16</f>
        <v>0.4999999999719833</v>
      </c>
      <c r="P16" s="11">
        <f>'24MS_Data'!P16-MTOM_Data!P16</f>
        <v>0</v>
      </c>
      <c r="Q16" s="11">
        <f>'24MS_Data'!Q16-MTOM_Data!Q16</f>
        <v>-6.4542435237324725E-3</v>
      </c>
      <c r="R16" s="12">
        <f>'24MS_Data'!R16-MTOM_Data!R16</f>
        <v>0</v>
      </c>
      <c r="S16" s="11">
        <f>'24MS_Data'!S16-MTOM_Data!S16</f>
        <v>-3.4066457021135648</v>
      </c>
      <c r="T16" s="11">
        <f>'24MS_Data'!T16-MTOM_Data!T16</f>
        <v>-4.6469716737682631E-3</v>
      </c>
      <c r="U16" s="11">
        <f>'24MS_Data'!U16-MTOM_Data!U16</f>
        <v>0</v>
      </c>
      <c r="V16" s="10">
        <f>'24MS_Data'!V16-MTOM_Data!V16</f>
        <v>-35.430648214316534</v>
      </c>
      <c r="W16" s="11">
        <f>'24MS_Data'!W16-MTOM_Data!W16</f>
        <v>0</v>
      </c>
      <c r="X16" s="12">
        <f>'24MS_Data'!X16-MTOM_Data!X16</f>
        <v>-1.5062262548365477</v>
      </c>
      <c r="Y16" s="11">
        <f>'24MS_Data'!Y16-MTOM_Data!Y16</f>
        <v>6.5448215774877099</v>
      </c>
      <c r="Z16" s="11">
        <f>'24MS_Data'!Z16-MTOM_Data!Z16</f>
        <v>-1.5062262548283059</v>
      </c>
      <c r="AA16" s="11">
        <f>'24MS_Data'!AA16-MTOM_Data!AA16</f>
        <v>0</v>
      </c>
      <c r="AB16" s="11">
        <f>'24MS_Data'!AB16-MTOM_Data!AB16</f>
        <v>-3.070661157024773</v>
      </c>
      <c r="AC16" s="11">
        <f>'24MS_Data'!AC16-MTOM_Data!AC16</f>
        <v>0</v>
      </c>
      <c r="AD16" s="10">
        <f>'24MS_Data'!AD16-MTOM_Data!AD16</f>
        <v>-2.1493903824330118</v>
      </c>
      <c r="AE16" s="11">
        <f>'24MS_Data'!AE16-MTOM_Data!AE16</f>
        <v>-169.4682101848266</v>
      </c>
      <c r="AF16" s="11">
        <f>'24MS_Data'!AF16-MTOM_Data!AF16</f>
        <v>0.9901236543835239</v>
      </c>
      <c r="AG16" s="11">
        <f>'24MS_Data'!AG16-MTOM_Data!AG16</f>
        <v>0</v>
      </c>
      <c r="AH16" s="11">
        <f>'24MS_Data'!AH16-MTOM_Data!AH16</f>
        <v>-0.33398050731920392</v>
      </c>
      <c r="AI16" s="11">
        <f>'24MS_Data'!AI16-MTOM_Data!AI16</f>
        <v>-3.9517544792033732E-10</v>
      </c>
      <c r="AJ16" s="12">
        <f>'24MS_Data'!AJ16-MTOM_Data!AJ16</f>
        <v>0</v>
      </c>
      <c r="AK16" s="11">
        <f>'24MS_Data'!AK16-MTOM_Data!AK16</f>
        <v>-4.9345622528562672E-5</v>
      </c>
      <c r="AL16" s="11">
        <f>'24MS_Data'!AL16-MTOM_Data!AL16</f>
        <v>1.1408701539039612E-7</v>
      </c>
      <c r="AM16" s="11">
        <f>'24MS_Data'!AM16-MTOM_Data!AM16</f>
        <v>-2.2469830867066776E-5</v>
      </c>
      <c r="AN16" s="10">
        <f>'24MS_Data'!AN16-MTOM_Data!AN16</f>
        <v>2.4351720639970154E-10</v>
      </c>
      <c r="AO16" s="11">
        <f>'24MS_Data'!AO16-MTOM_Data!AO16</f>
        <v>5.950569175183773E-7</v>
      </c>
      <c r="AP16" s="12">
        <f>'24MS_Data'!AP16-MTOM_Data!AP16</f>
        <v>-9.6918029157677665E-12</v>
      </c>
      <c r="AQ16" s="11">
        <f>'24MS_Data'!AQ16-MTOM_Data!AQ16</f>
        <v>-1.0584244591882452E-10</v>
      </c>
      <c r="AR16" s="11">
        <f>'24MS_Data'!AR16-MTOM_Data!AR16</f>
        <v>6.1493483372032642E-7</v>
      </c>
      <c r="AS16" s="11">
        <f>'24MS_Data'!AS16-MTOM_Data!AS16</f>
        <v>1.2258169590495527E-8</v>
      </c>
      <c r="AT16" s="13">
        <f>'24MS_Data'!AT16-MTOM_Data!AT16</f>
        <v>8.7638909462839365E-9</v>
      </c>
      <c r="AU16" s="11">
        <f>'24MS_Data'!AU16-MTOM_Data!AU16</f>
        <v>-5.3812982514500618E-8</v>
      </c>
      <c r="AV16" s="13">
        <f>'24MS_Data'!AV16-MTOM_Data!AV16</f>
        <v>2.5625922717154026E-8</v>
      </c>
    </row>
    <row r="17" spans="1:48" x14ac:dyDescent="0.25">
      <c r="A17" s="49">
        <f t="shared" si="0"/>
        <v>44592</v>
      </c>
      <c r="B17" s="10">
        <f>'24MS_Data'!B17-MTOM_Data!B17</f>
        <v>2.2509255785207642</v>
      </c>
      <c r="C17" s="11">
        <f>'24MS_Data'!C17-MTOM_Data!C17</f>
        <v>0</v>
      </c>
      <c r="D17" s="11">
        <f>'24MS_Data'!D17-MTOM_Data!D17</f>
        <v>3.398055708063211</v>
      </c>
      <c r="E17" s="11">
        <f>'24MS_Data'!E17-MTOM_Data!E17</f>
        <v>0</v>
      </c>
      <c r="F17" s="10">
        <f>'24MS_Data'!F17-MTOM_Data!F17</f>
        <v>3.1187154026674762</v>
      </c>
      <c r="G17" s="11">
        <f>'24MS_Data'!G17-MTOM_Data!G17</f>
        <v>3.3980557081241329</v>
      </c>
      <c r="H17" s="11">
        <f>'24MS_Data'!H17-MTOM_Data!H17</f>
        <v>0</v>
      </c>
      <c r="I17" s="11">
        <f>'24MS_Data'!I17-MTOM_Data!I17</f>
        <v>30.588595041322421</v>
      </c>
      <c r="J17" s="12">
        <f>'24MS_Data'!J17-MTOM_Data!J17</f>
        <v>0</v>
      </c>
      <c r="K17" s="11">
        <f>'24MS_Data'!K17-MTOM_Data!K17</f>
        <v>-29.771377549790486</v>
      </c>
      <c r="L17" s="11">
        <f>'24MS_Data'!L17-MTOM_Data!L17</f>
        <v>0</v>
      </c>
      <c r="M17" s="11">
        <f>'24MS_Data'!M17-MTOM_Data!M17</f>
        <v>0.58842975206612103</v>
      </c>
      <c r="N17" s="10">
        <f>'24MS_Data'!N17-MTOM_Data!N17</f>
        <v>7.9985294793941648</v>
      </c>
      <c r="O17" s="11">
        <f>'24MS_Data'!O17-MTOM_Data!O17</f>
        <v>0.58842975198626135</v>
      </c>
      <c r="P17" s="11">
        <f>'24MS_Data'!P17-MTOM_Data!P17</f>
        <v>0</v>
      </c>
      <c r="Q17" s="11">
        <f>'24MS_Data'!Q17-MTOM_Data!Q17</f>
        <v>-6.7470088901481251</v>
      </c>
      <c r="R17" s="12">
        <f>'24MS_Data'!R17-MTOM_Data!R17</f>
        <v>0</v>
      </c>
      <c r="S17" s="11">
        <f>'24MS_Data'!S17-MTOM_Data!S17</f>
        <v>-3.4066457020826419</v>
      </c>
      <c r="T17" s="11">
        <f>'24MS_Data'!T17-MTOM_Data!T17</f>
        <v>-6.7462543961463943</v>
      </c>
      <c r="U17" s="11">
        <f>'24MS_Data'!U17-MTOM_Data!U17</f>
        <v>0</v>
      </c>
      <c r="V17" s="10">
        <f>'24MS_Data'!V17-MTOM_Data!V17</f>
        <v>-32.030053524219511</v>
      </c>
      <c r="W17" s="11">
        <f>'24MS_Data'!W17-MTOM_Data!W17</f>
        <v>0</v>
      </c>
      <c r="X17" s="12">
        <f>'24MS_Data'!X17-MTOM_Data!X17</f>
        <v>-3.7839177558473964</v>
      </c>
      <c r="Y17" s="11">
        <f>'24MS_Data'!Y17-MTOM_Data!Y17</f>
        <v>6.4829520891053107</v>
      </c>
      <c r="Z17" s="11">
        <f>'24MS_Data'!Z17-MTOM_Data!Z17</f>
        <v>-3.7839177558454473</v>
      </c>
      <c r="AA17" s="11">
        <f>'24MS_Data'!AA17-MTOM_Data!AA17</f>
        <v>0</v>
      </c>
      <c r="AB17" s="11">
        <f>'24MS_Data'!AB17-MTOM_Data!AB17</f>
        <v>-3.070661157024773</v>
      </c>
      <c r="AC17" s="11">
        <f>'24MS_Data'!AC17-MTOM_Data!AC17</f>
        <v>0</v>
      </c>
      <c r="AD17" s="10">
        <f>'24MS_Data'!AD17-MTOM_Data!AD17</f>
        <v>-1.9523202690729704</v>
      </c>
      <c r="AE17" s="11">
        <f>'24MS_Data'!AE17-MTOM_Data!AE17</f>
        <v>-150.13330980398496</v>
      </c>
      <c r="AF17" s="11">
        <f>'24MS_Data'!AF17-MTOM_Data!AF17</f>
        <v>20.771679488178506</v>
      </c>
      <c r="AG17" s="11">
        <f>'24MS_Data'!AG17-MTOM_Data!AG17</f>
        <v>0</v>
      </c>
      <c r="AH17" s="11">
        <f>'24MS_Data'!AH17-MTOM_Data!AH17</f>
        <v>-0.11001291783675704</v>
      </c>
      <c r="AI17" s="11">
        <f>'24MS_Data'!AI17-MTOM_Data!AI17</f>
        <v>1.7746515368344262E-10</v>
      </c>
      <c r="AJ17" s="12">
        <f>'24MS_Data'!AJ17-MTOM_Data!AJ17</f>
        <v>0</v>
      </c>
      <c r="AK17" s="11">
        <f>'24MS_Data'!AK17-MTOM_Data!AK17</f>
        <v>-0.60646926362710474</v>
      </c>
      <c r="AL17" s="11">
        <f>'24MS_Data'!AL17-MTOM_Data!AL17</f>
        <v>51970.311521421361</v>
      </c>
      <c r="AM17" s="11">
        <f>'24MS_Data'!AM17-MTOM_Data!AM17</f>
        <v>16.422080680876405</v>
      </c>
      <c r="AN17" s="10">
        <f>'24MS_Data'!AN17-MTOM_Data!AN17</f>
        <v>3.0274804885266349E-10</v>
      </c>
      <c r="AO17" s="11">
        <f>'24MS_Data'!AO17-MTOM_Data!AO17</f>
        <v>51970.311521791155</v>
      </c>
      <c r="AP17" s="12">
        <f>'24MS_Data'!AP17-MTOM_Data!AP17</f>
        <v>6.4185881042078066</v>
      </c>
      <c r="AQ17" s="11">
        <f>'24MS_Data'!AQ17-MTOM_Data!AQ17</f>
        <v>1.7621459846850485E-12</v>
      </c>
      <c r="AR17" s="11">
        <f>'24MS_Data'!AR17-MTOM_Data!AR17</f>
        <v>-475.99648868787335</v>
      </c>
      <c r="AS17" s="11">
        <f>'24MS_Data'!AS17-MTOM_Data!AS17</f>
        <v>-32.360706406456302</v>
      </c>
      <c r="AT17" s="13">
        <f>'24MS_Data'!AT17-MTOM_Data!AT17</f>
        <v>2.9649527277797461E-10</v>
      </c>
      <c r="AU17" s="11">
        <f>'24MS_Data'!AU17-MTOM_Data!AU17</f>
        <v>2.0605511963367462E-8</v>
      </c>
      <c r="AV17" s="13">
        <f>'24MS_Data'!AV17-MTOM_Data!AV17</f>
        <v>52446.30800879802</v>
      </c>
    </row>
    <row r="18" spans="1:48" x14ac:dyDescent="0.25">
      <c r="A18" s="49">
        <f t="shared" si="0"/>
        <v>44620</v>
      </c>
      <c r="B18" s="10">
        <f>'24MS_Data'!B18-MTOM_Data!B18</f>
        <v>1.9625697366454915</v>
      </c>
      <c r="C18" s="11">
        <f>'24MS_Data'!C18-MTOM_Data!C18</f>
        <v>0</v>
      </c>
      <c r="D18" s="11">
        <f>'24MS_Data'!D18-MTOM_Data!D18</f>
        <v>3.0721148330892518</v>
      </c>
      <c r="E18" s="11">
        <f>'24MS_Data'!E18-MTOM_Data!E18</f>
        <v>0</v>
      </c>
      <c r="F18" s="10">
        <f>'24MS_Data'!F18-MTOM_Data!F18</f>
        <v>2.4738701760070398</v>
      </c>
      <c r="G18" s="11">
        <f>'24MS_Data'!G18-MTOM_Data!G18</f>
        <v>3.0721148331104047</v>
      </c>
      <c r="H18" s="11">
        <f>'24MS_Data'!H18-MTOM_Data!H18</f>
        <v>0</v>
      </c>
      <c r="I18" s="11">
        <f>'24MS_Data'!I18-MTOM_Data!I18</f>
        <v>27.534214876033353</v>
      </c>
      <c r="J18" s="12">
        <f>'24MS_Data'!J18-MTOM_Data!J18</f>
        <v>0</v>
      </c>
      <c r="K18" s="11">
        <f>'24MS_Data'!K18-MTOM_Data!K18</f>
        <v>-30.405120111547149</v>
      </c>
      <c r="L18" s="11">
        <f>'24MS_Data'!L18-MTOM_Data!L18</f>
        <v>0</v>
      </c>
      <c r="M18" s="11">
        <f>'24MS_Data'!M18-MTOM_Data!M18</f>
        <v>0.33699024793402277</v>
      </c>
      <c r="N18" s="10">
        <f>'24MS_Data'!N18-MTOM_Data!N18</f>
        <v>8.8779280300586834</v>
      </c>
      <c r="O18" s="11">
        <f>'24MS_Data'!O18-MTOM_Data!O18</f>
        <v>0.33699024790037058</v>
      </c>
      <c r="P18" s="11">
        <f>'24MS_Data'!P18-MTOM_Data!P18</f>
        <v>0</v>
      </c>
      <c r="Q18" s="11">
        <f>'24MS_Data'!Q18-MTOM_Data!Q18</f>
        <v>-6.5715679492597694</v>
      </c>
      <c r="R18" s="12">
        <f>'24MS_Data'!R18-MTOM_Data!R18</f>
        <v>0</v>
      </c>
      <c r="S18" s="11">
        <f>'24MS_Data'!S18-MTOM_Data!S18</f>
        <v>-3.4039451322778405</v>
      </c>
      <c r="T18" s="11">
        <f>'24MS_Data'!T18-MTOM_Data!T18</f>
        <v>-6.5735977864924138</v>
      </c>
      <c r="U18" s="11">
        <f>'24MS_Data'!U18-MTOM_Data!U18</f>
        <v>0</v>
      </c>
      <c r="V18" s="10">
        <f>'24MS_Data'!V18-MTOM_Data!V18</f>
        <v>-29.19569151295218</v>
      </c>
      <c r="W18" s="11">
        <f>'24MS_Data'!W18-MTOM_Data!W18</f>
        <v>0</v>
      </c>
      <c r="X18" s="12">
        <f>'24MS_Data'!X18-MTOM_Data!X18</f>
        <v>-3.4328811812754116</v>
      </c>
      <c r="Y18" s="11">
        <f>'24MS_Data'!Y18-MTOM_Data!Y18</f>
        <v>6.3769607685298979</v>
      </c>
      <c r="Z18" s="11">
        <f>'24MS_Data'!Z18-MTOM_Data!Z18</f>
        <v>-3.4328811812548246</v>
      </c>
      <c r="AA18" s="11">
        <f>'24MS_Data'!AA18-MTOM_Data!AA18</f>
        <v>0</v>
      </c>
      <c r="AB18" s="11">
        <f>'24MS_Data'!AB18-MTOM_Data!AB18</f>
        <v>-2.7780165289256011</v>
      </c>
      <c r="AC18" s="11">
        <f>'24MS_Data'!AC18-MTOM_Data!AC18</f>
        <v>0</v>
      </c>
      <c r="AD18" s="10">
        <f>'24MS_Data'!AD18-MTOM_Data!AD18</f>
        <v>-1.7628002263545568</v>
      </c>
      <c r="AE18" s="11">
        <f>'24MS_Data'!AE18-MTOM_Data!AE18</f>
        <v>-133.20058943440017</v>
      </c>
      <c r="AF18" s="11">
        <f>'24MS_Data'!AF18-MTOM_Data!AF18</f>
        <v>18.182600561379047</v>
      </c>
      <c r="AG18" s="11">
        <f>'24MS_Data'!AG18-MTOM_Data!AG18</f>
        <v>0</v>
      </c>
      <c r="AH18" s="11">
        <f>'24MS_Data'!AH18-MTOM_Data!AH18</f>
        <v>-0.10473709756853644</v>
      </c>
      <c r="AI18" s="11">
        <f>'24MS_Data'!AI18-MTOM_Data!AI18</f>
        <v>3.333298081997782E-10</v>
      </c>
      <c r="AJ18" s="12">
        <f>'24MS_Data'!AJ18-MTOM_Data!AJ18</f>
        <v>0</v>
      </c>
      <c r="AK18" s="11">
        <f>'24MS_Data'!AK18-MTOM_Data!AK18</f>
        <v>-0.25619494020679667</v>
      </c>
      <c r="AL18" s="11">
        <f>'24MS_Data'!AL18-MTOM_Data!AL18</f>
        <v>-29766.997494823881</v>
      </c>
      <c r="AM18" s="11">
        <f>'24MS_Data'!AM18-MTOM_Data!AM18</f>
        <v>-13.025501621620009</v>
      </c>
      <c r="AN18" s="10">
        <f>'24MS_Data'!AN18-MTOM_Data!AN18</f>
        <v>2.9490365704987198E-10</v>
      </c>
      <c r="AO18" s="11">
        <f>'24MS_Data'!AO18-MTOM_Data!AO18</f>
        <v>-29766.997495706019</v>
      </c>
      <c r="AP18" s="12">
        <f>'24MS_Data'!AP18-MTOM_Data!AP18</f>
        <v>-3.6511699964943176</v>
      </c>
      <c r="AQ18" s="11">
        <f>'24MS_Data'!AQ18-MTOM_Data!AQ18</f>
        <v>1.3642420526593924E-12</v>
      </c>
      <c r="AR18" s="11">
        <f>'24MS_Data'!AR18-MTOM_Data!AR18</f>
        <v>-615.61745798058109</v>
      </c>
      <c r="AS18" s="11">
        <f>'24MS_Data'!AS18-MTOM_Data!AS18</f>
        <v>-41.878363467050804</v>
      </c>
      <c r="AT18" s="13">
        <f>'24MS_Data'!AT18-MTOM_Data!AT18</f>
        <v>7.7507138485088944E-9</v>
      </c>
      <c r="AU18" s="11">
        <f>'24MS_Data'!AU18-MTOM_Data!AU18</f>
        <v>1.4606484910473228E-9</v>
      </c>
      <c r="AV18" s="13">
        <f>'24MS_Data'!AV18-MTOM_Data!AV18</f>
        <v>-29151.380037333307</v>
      </c>
    </row>
    <row r="19" spans="1:48" x14ac:dyDescent="0.25">
      <c r="A19" s="49">
        <f t="shared" si="0"/>
        <v>44651</v>
      </c>
      <c r="B19" s="10">
        <f>'24MS_Data'!B19-MTOM_Data!B19</f>
        <v>2.0938391475483513</v>
      </c>
      <c r="C19" s="11">
        <f>'24MS_Data'!C19-MTOM_Data!C19</f>
        <v>0</v>
      </c>
      <c r="D19" s="11">
        <f>'24MS_Data'!D19-MTOM_Data!D19</f>
        <v>0.12805570806278865</v>
      </c>
      <c r="E19" s="11">
        <f>'24MS_Data'!E19-MTOM_Data!E19</f>
        <v>0</v>
      </c>
      <c r="F19" s="10">
        <f>'24MS_Data'!F19-MTOM_Data!F19</f>
        <v>1.6690765585317422</v>
      </c>
      <c r="G19" s="11">
        <f>'24MS_Data'!G19-MTOM_Data!G19</f>
        <v>0.12805570801172905</v>
      </c>
      <c r="H19" s="11">
        <f>'24MS_Data'!H19-MTOM_Data!H19</f>
        <v>0</v>
      </c>
      <c r="I19" s="11">
        <f>'24MS_Data'!I19-MTOM_Data!I19</f>
        <v>30.129917355371987</v>
      </c>
      <c r="J19" s="12">
        <f>'24MS_Data'!J19-MTOM_Data!J19</f>
        <v>0</v>
      </c>
      <c r="K19" s="11">
        <f>'24MS_Data'!K19-MTOM_Data!K19</f>
        <v>-29.735075885826518</v>
      </c>
      <c r="L19" s="11">
        <f>'24MS_Data'!L19-MTOM_Data!L19</f>
        <v>0</v>
      </c>
      <c r="M19" s="11">
        <f>'24MS_Data'!M19-MTOM_Data!M19</f>
        <v>-1.5891699999973943</v>
      </c>
      <c r="N19" s="10">
        <f>'24MS_Data'!N19-MTOM_Data!N19</f>
        <v>8.5326571108626013</v>
      </c>
      <c r="O19" s="11">
        <f>'24MS_Data'!O19-MTOM_Data!O19</f>
        <v>-1.5891699999483819</v>
      </c>
      <c r="P19" s="11">
        <f>'24MS_Data'!P19-MTOM_Data!P19</f>
        <v>0</v>
      </c>
      <c r="Q19" s="11">
        <f>'24MS_Data'!Q19-MTOM_Data!Q19</f>
        <v>-0.24374156240509137</v>
      </c>
      <c r="R19" s="12">
        <f>'24MS_Data'!R19-MTOM_Data!R19</f>
        <v>0</v>
      </c>
      <c r="S19" s="11">
        <f>'24MS_Data'!S19-MTOM_Data!S19</f>
        <v>-3.4066457023000112</v>
      </c>
      <c r="T19" s="11">
        <f>'24MS_Data'!T19-MTOM_Data!T19</f>
        <v>-0.23895709123522835</v>
      </c>
      <c r="U19" s="11">
        <f>'24MS_Data'!U19-MTOM_Data!U19</f>
        <v>0</v>
      </c>
      <c r="V19" s="10">
        <f>'24MS_Data'!V19-MTOM_Data!V19</f>
        <v>-24.393247288179737</v>
      </c>
      <c r="W19" s="11">
        <f>'24MS_Data'!W19-MTOM_Data!W19</f>
        <v>0</v>
      </c>
      <c r="X19" s="12">
        <f>'24MS_Data'!X19-MTOM_Data!X19</f>
        <v>-6.0987508156983328</v>
      </c>
      <c r="Y19" s="11">
        <f>'24MS_Data'!Y19-MTOM_Data!Y19</f>
        <v>5.8587543023659236</v>
      </c>
      <c r="Z19" s="11">
        <f>'24MS_Data'!Z19-MTOM_Data!Z19</f>
        <v>-6.0987508156446069</v>
      </c>
      <c r="AA19" s="11">
        <f>'24MS_Data'!AA19-MTOM_Data!AA19</f>
        <v>0</v>
      </c>
      <c r="AB19" s="11">
        <f>'24MS_Data'!AB19-MTOM_Data!AB19</f>
        <v>-3.070661157024773</v>
      </c>
      <c r="AC19" s="11">
        <f>'24MS_Data'!AC19-MTOM_Data!AC19</f>
        <v>0</v>
      </c>
      <c r="AD19" s="10">
        <f>'24MS_Data'!AD19-MTOM_Data!AD19</f>
        <v>-1.4473904161977771</v>
      </c>
      <c r="AE19" s="11">
        <f>'24MS_Data'!AE19-MTOM_Data!AE19</f>
        <v>-108.2342736851233</v>
      </c>
      <c r="AF19" s="11">
        <f>'24MS_Data'!AF19-MTOM_Data!AF19</f>
        <v>26.820299107244182</v>
      </c>
      <c r="AG19" s="11">
        <f>'24MS_Data'!AG19-MTOM_Data!AG19</f>
        <v>0</v>
      </c>
      <c r="AH19" s="11">
        <f>'24MS_Data'!AH19-MTOM_Data!AH19</f>
        <v>-0.14332127983024989</v>
      </c>
      <c r="AI19" s="11">
        <f>'24MS_Data'!AI19-MTOM_Data!AI19</f>
        <v>-3.4174263419117779E-10</v>
      </c>
      <c r="AJ19" s="12">
        <f>'24MS_Data'!AJ19-MTOM_Data!AJ19</f>
        <v>0</v>
      </c>
      <c r="AK19" s="11">
        <f>'24MS_Data'!AK19-MTOM_Data!AK19</f>
        <v>-7.1132928672113849E-2</v>
      </c>
      <c r="AL19" s="11">
        <f>'24MS_Data'!AL19-MTOM_Data!AL19</f>
        <v>-16023.844691973994</v>
      </c>
      <c r="AM19" s="11">
        <f>'24MS_Data'!AM19-MTOM_Data!AM19</f>
        <v>-7.0453374251883929</v>
      </c>
      <c r="AN19" s="10">
        <f>'24MS_Data'!AN19-MTOM_Data!AN19</f>
        <v>-9.4451024779118598E-10</v>
      </c>
      <c r="AO19" s="11">
        <f>'24MS_Data'!AO19-MTOM_Data!AO19</f>
        <v>-16023.844692722196</v>
      </c>
      <c r="AP19" s="12">
        <f>'24MS_Data'!AP19-MTOM_Data!AP19</f>
        <v>-1.9339145538225324</v>
      </c>
      <c r="AQ19" s="11">
        <f>'24MS_Data'!AQ19-MTOM_Data!AQ19</f>
        <v>6.4858340920181945E-11</v>
      </c>
      <c r="AR19" s="11">
        <f>'24MS_Data'!AR19-MTOM_Data!AR19</f>
        <v>-1214.8779068276053</v>
      </c>
      <c r="AS19" s="11">
        <f>'24MS_Data'!AS19-MTOM_Data!AS19</f>
        <v>-80.989125825231895</v>
      </c>
      <c r="AT19" s="13">
        <f>'24MS_Data'!AT19-MTOM_Data!AT19</f>
        <v>1.7280399333685637E-9</v>
      </c>
      <c r="AU19" s="11">
        <f>'24MS_Data'!AU19-MTOM_Data!AU19</f>
        <v>2.0809238776564598E-8</v>
      </c>
      <c r="AV19" s="13">
        <f>'24MS_Data'!AV19-MTOM_Data!AV19</f>
        <v>-14808.966786903518</v>
      </c>
    </row>
    <row r="20" spans="1:48" x14ac:dyDescent="0.25">
      <c r="A20" s="49">
        <f t="shared" si="0"/>
        <v>44681</v>
      </c>
      <c r="B20" s="10">
        <f>'24MS_Data'!B20-MTOM_Data!B20</f>
        <v>6.1864809711159978</v>
      </c>
      <c r="C20" s="11">
        <f>'24MS_Data'!C20-MTOM_Data!C20</f>
        <v>0</v>
      </c>
      <c r="D20" s="11">
        <f>'24MS_Data'!D20-MTOM_Data!D20</f>
        <v>-16.669175295939112</v>
      </c>
      <c r="E20" s="11">
        <f>'24MS_Data'!E20-MTOM_Data!E20</f>
        <v>0</v>
      </c>
      <c r="F20" s="10">
        <f>'24MS_Data'!F20-MTOM_Data!F20</f>
        <v>0.4711366113187978</v>
      </c>
      <c r="G20" s="11">
        <f>'24MS_Data'!G20-MTOM_Data!G20</f>
        <v>-16.669175295977524</v>
      </c>
      <c r="H20" s="11">
        <f>'24MS_Data'!H20-MTOM_Data!H20</f>
        <v>0</v>
      </c>
      <c r="I20" s="11">
        <f>'24MS_Data'!I20-MTOM_Data!I20</f>
        <v>29.156694214876332</v>
      </c>
      <c r="J20" s="12">
        <f>'24MS_Data'!J20-MTOM_Data!J20</f>
        <v>0</v>
      </c>
      <c r="K20" s="11">
        <f>'24MS_Data'!K20-MTOM_Data!K20</f>
        <v>-30.443766666667216</v>
      </c>
      <c r="L20" s="11">
        <f>'24MS_Data'!L20-MTOM_Data!L20</f>
        <v>0</v>
      </c>
      <c r="M20" s="11">
        <f>'24MS_Data'!M20-MTOM_Data!M20</f>
        <v>0.24847000000011832</v>
      </c>
      <c r="N20" s="10">
        <f>'24MS_Data'!N20-MTOM_Data!N20</f>
        <v>8.7026023449689092</v>
      </c>
      <c r="O20" s="11">
        <f>'24MS_Data'!O20-MTOM_Data!O20</f>
        <v>0.24847000000842456</v>
      </c>
      <c r="P20" s="11">
        <f>'24MS_Data'!P20-MTOM_Data!P20</f>
        <v>0</v>
      </c>
      <c r="Q20" s="11">
        <f>'24MS_Data'!Q20-MTOM_Data!Q20</f>
        <v>-3.1196415356207012</v>
      </c>
      <c r="R20" s="12">
        <f>'24MS_Data'!R20-MTOM_Data!R20</f>
        <v>0</v>
      </c>
      <c r="S20" s="11">
        <f>'24MS_Data'!S20-MTOM_Data!S20</f>
        <v>-3.4036249821319871</v>
      </c>
      <c r="T20" s="11">
        <f>'24MS_Data'!T20-MTOM_Data!T20</f>
        <v>-3.1198572974456624</v>
      </c>
      <c r="U20" s="11">
        <f>'24MS_Data'!U20-MTOM_Data!U20</f>
        <v>0</v>
      </c>
      <c r="V20" s="10">
        <f>'24MS_Data'!V20-MTOM_Data!V20</f>
        <v>-20.446125695541014</v>
      </c>
      <c r="W20" s="11">
        <f>'24MS_Data'!W20-MTOM_Data!W20</f>
        <v>0</v>
      </c>
      <c r="X20" s="12">
        <f>'24MS_Data'!X20-MTOM_Data!X20</f>
        <v>-1.2105024544361509</v>
      </c>
      <c r="Y20" s="11">
        <f>'24MS_Data'!Y20-MTOM_Data!Y20</f>
        <v>5.7254110966068765</v>
      </c>
      <c r="Z20" s="11">
        <f>'24MS_Data'!Z20-MTOM_Data!Z20</f>
        <v>-1.2105024543777603</v>
      </c>
      <c r="AA20" s="11">
        <f>'24MS_Data'!AA20-MTOM_Data!AA20</f>
        <v>0</v>
      </c>
      <c r="AB20" s="11">
        <f>'24MS_Data'!AB20-MTOM_Data!AB20</f>
        <v>-2.9764462809917127</v>
      </c>
      <c r="AC20" s="11">
        <f>'24MS_Data'!AC20-MTOM_Data!AC20</f>
        <v>0</v>
      </c>
      <c r="AD20" s="10">
        <f>'24MS_Data'!AD20-MTOM_Data!AD20</f>
        <v>-1.1484682880086439</v>
      </c>
      <c r="AE20" s="11">
        <f>'24MS_Data'!AE20-MTOM_Data!AE20</f>
        <v>-86.714857003311408</v>
      </c>
      <c r="AF20" s="11">
        <f>'24MS_Data'!AF20-MTOM_Data!AF20</f>
        <v>23.060390636468924</v>
      </c>
      <c r="AG20" s="11">
        <f>'24MS_Data'!AG20-MTOM_Data!AG20</f>
        <v>0</v>
      </c>
      <c r="AH20" s="11">
        <f>'24MS_Data'!AH20-MTOM_Data!AH20</f>
        <v>-0.18057888553471102</v>
      </c>
      <c r="AI20" s="11">
        <f>'24MS_Data'!AI20-MTOM_Data!AI20</f>
        <v>-3.9779024518793449E-10</v>
      </c>
      <c r="AJ20" s="12">
        <f>'24MS_Data'!AJ20-MTOM_Data!AJ20</f>
        <v>0</v>
      </c>
      <c r="AK20" s="11">
        <f>'24MS_Data'!AK20-MTOM_Data!AK20</f>
        <v>7.5096290015380873E-2</v>
      </c>
      <c r="AL20" s="11">
        <f>'24MS_Data'!AL20-MTOM_Data!AL20</f>
        <v>-12381.712388581131</v>
      </c>
      <c r="AM20" s="11">
        <f>'24MS_Data'!AM20-MTOM_Data!AM20</f>
        <v>-5.3680799603882292</v>
      </c>
      <c r="AN20" s="10">
        <f>'24MS_Data'!AN20-MTOM_Data!AN20</f>
        <v>1.3263843356980942E-9</v>
      </c>
      <c r="AO20" s="11">
        <f>'24MS_Data'!AO20-MTOM_Data!AO20</f>
        <v>-12381.712429955252</v>
      </c>
      <c r="AP20" s="12">
        <f>'24MS_Data'!AP20-MTOM_Data!AP20</f>
        <v>-1.4955488443766427</v>
      </c>
      <c r="AQ20" s="11">
        <f>'24MS_Data'!AQ20-MTOM_Data!AQ20</f>
        <v>1.1382326192688197E-9</v>
      </c>
      <c r="AR20" s="11">
        <f>'24MS_Data'!AR20-MTOM_Data!AR20</f>
        <v>-1686.2158450181596</v>
      </c>
      <c r="AS20" s="11">
        <f>'24MS_Data'!AS20-MTOM_Data!AS20</f>
        <v>-114.03802130300028</v>
      </c>
      <c r="AT20" s="13">
        <f>'24MS_Data'!AT20-MTOM_Data!AT20</f>
        <v>-2.2519088815897703E-9</v>
      </c>
      <c r="AU20" s="11">
        <f>'24MS_Data'!AU20-MTOM_Data!AU20</f>
        <v>7.5655407272279263E-8</v>
      </c>
      <c r="AV20" s="13">
        <f>'24MS_Data'!AV20-MTOM_Data!AV20</f>
        <v>-10695.49658529782</v>
      </c>
    </row>
    <row r="21" spans="1:48" x14ac:dyDescent="0.25">
      <c r="A21" s="49">
        <f t="shared" si="0"/>
        <v>44712</v>
      </c>
      <c r="B21" s="10">
        <f>'24MS_Data'!B21-MTOM_Data!B21</f>
        <v>5.7229167978830446</v>
      </c>
      <c r="C21" s="11">
        <f>'24MS_Data'!C21-MTOM_Data!C21</f>
        <v>0</v>
      </c>
      <c r="D21" s="11">
        <f>'24MS_Data'!D21-MTOM_Data!D21</f>
        <v>-8.4081875001543551</v>
      </c>
      <c r="E21" s="11">
        <f>'24MS_Data'!E21-MTOM_Data!E21</f>
        <v>-2.9152791587279636</v>
      </c>
      <c r="F21" s="10">
        <f>'24MS_Data'!F21-MTOM_Data!F21</f>
        <v>-0.47128380817230209</v>
      </c>
      <c r="G21" s="11">
        <f>'24MS_Data'!G21-MTOM_Data!G21</f>
        <v>-8.4081875000927653</v>
      </c>
      <c r="H21" s="11">
        <f>'24MS_Data'!H21-MTOM_Data!H21</f>
        <v>0</v>
      </c>
      <c r="I21" s="11">
        <f>'24MS_Data'!I21-MTOM_Data!I21</f>
        <v>28.75991735537167</v>
      </c>
      <c r="J21" s="12">
        <f>'24MS_Data'!J21-MTOM_Data!J21</f>
        <v>0</v>
      </c>
      <c r="K21" s="11">
        <f>'24MS_Data'!K21-MTOM_Data!K21</f>
        <v>-24.491756725719824</v>
      </c>
      <c r="L21" s="11">
        <f>'24MS_Data'!L21-MTOM_Data!L21</f>
        <v>0</v>
      </c>
      <c r="M21" s="11">
        <f>'24MS_Data'!M21-MTOM_Data!M21</f>
        <v>0.36447999999552216</v>
      </c>
      <c r="N21" s="10">
        <f>'24MS_Data'!N21-MTOM_Data!N21</f>
        <v>-2.5112661955872682</v>
      </c>
      <c r="O21" s="11">
        <f>'24MS_Data'!O21-MTOM_Data!O21</f>
        <v>0.36447999998111413</v>
      </c>
      <c r="P21" s="11">
        <f>'24MS_Data'!P21-MTOM_Data!P21</f>
        <v>0</v>
      </c>
      <c r="Q21" s="11">
        <f>'24MS_Data'!Q21-MTOM_Data!Q21</f>
        <v>88.464227317219084</v>
      </c>
      <c r="R21" s="12">
        <f>'24MS_Data'!R21-MTOM_Data!R21</f>
        <v>7.03598957040718</v>
      </c>
      <c r="S21" s="11">
        <f>'24MS_Data'!S21-MTOM_Data!S21</f>
        <v>-3.4066457021081078</v>
      </c>
      <c r="T21" s="11">
        <f>'24MS_Data'!T21-MTOM_Data!T21</f>
        <v>88.471886856532961</v>
      </c>
      <c r="U21" s="11">
        <f>'24MS_Data'!U21-MTOM_Data!U21</f>
        <v>86.536727805321974</v>
      </c>
      <c r="V21" s="10">
        <f>'24MS_Data'!V21-MTOM_Data!V21</f>
        <v>-10.660519904134162</v>
      </c>
      <c r="W21" s="11">
        <f>'24MS_Data'!W21-MTOM_Data!W21</f>
        <v>0</v>
      </c>
      <c r="X21" s="12">
        <f>'24MS_Data'!X21-MTOM_Data!X21</f>
        <v>-19.170022200979552</v>
      </c>
      <c r="Y21" s="11">
        <f>'24MS_Data'!Y21-MTOM_Data!Y21</f>
        <v>4.0075075546556036</v>
      </c>
      <c r="Z21" s="11">
        <f>'24MS_Data'!Z21-MTOM_Data!Z21</f>
        <v>-19.170022201007583</v>
      </c>
      <c r="AA21" s="11">
        <f>'24MS_Data'!AA21-MTOM_Data!AA21</f>
        <v>0</v>
      </c>
      <c r="AB21" s="11">
        <f>'24MS_Data'!AB21-MTOM_Data!AB21</f>
        <v>-3.070661157024773</v>
      </c>
      <c r="AC21" s="11">
        <f>'24MS_Data'!AC21-MTOM_Data!AC21</f>
        <v>0</v>
      </c>
      <c r="AD21" s="10">
        <f>'24MS_Data'!AD21-MTOM_Data!AD21</f>
        <v>0.23154433905347105</v>
      </c>
      <c r="AE21" s="11">
        <f>'24MS_Data'!AE21-MTOM_Data!AE21</f>
        <v>19.058759155190273</v>
      </c>
      <c r="AF21" s="11">
        <f>'24MS_Data'!AF21-MTOM_Data!AF21</f>
        <v>114.16114305513156</v>
      </c>
      <c r="AG21" s="11">
        <f>'24MS_Data'!AG21-MTOM_Data!AG21</f>
        <v>0</v>
      </c>
      <c r="AH21" s="11">
        <f>'24MS_Data'!AH21-MTOM_Data!AH21</f>
        <v>-7.4362542821365452E-2</v>
      </c>
      <c r="AI21" s="11">
        <f>'24MS_Data'!AI21-MTOM_Data!AI21</f>
        <v>-3.9517544792033732E-10</v>
      </c>
      <c r="AJ21" s="12">
        <f>'24MS_Data'!AJ21-MTOM_Data!AJ21</f>
        <v>0</v>
      </c>
      <c r="AK21" s="11">
        <f>'24MS_Data'!AK21-MTOM_Data!AK21</f>
        <v>0.17506849767119093</v>
      </c>
      <c r="AL21" s="11">
        <f>'24MS_Data'!AL21-MTOM_Data!AL21</f>
        <v>-8110.2206957767485</v>
      </c>
      <c r="AM21" s="11">
        <f>'24MS_Data'!AM21-MTOM_Data!AM21</f>
        <v>-3.2983795786146857</v>
      </c>
      <c r="AN21" s="10">
        <f>'24MS_Data'!AN21-MTOM_Data!AN21</f>
        <v>6.1504579207394272E-10</v>
      </c>
      <c r="AO21" s="11">
        <f>'24MS_Data'!AO21-MTOM_Data!AO21</f>
        <v>-8110.2207046446856</v>
      </c>
      <c r="AP21" s="12">
        <f>'24MS_Data'!AP21-MTOM_Data!AP21</f>
        <v>-0.97762988810961815</v>
      </c>
      <c r="AQ21" s="11">
        <f>'24MS_Data'!AQ21-MTOM_Data!AQ21</f>
        <v>5.6843418860808015E-12</v>
      </c>
      <c r="AR21" s="11">
        <f>'24MS_Data'!AR21-MTOM_Data!AR21</f>
        <v>584.58667366870213</v>
      </c>
      <c r="AS21" s="11">
        <f>'24MS_Data'!AS21-MTOM_Data!AS21</f>
        <v>40.043829787682625</v>
      </c>
      <c r="AT21" s="13">
        <f>'24MS_Data'!AT21-MTOM_Data!AT21</f>
        <v>-8.5601641330868006E-9</v>
      </c>
      <c r="AU21" s="11">
        <f>'24MS_Data'!AU21-MTOM_Data!AU21</f>
        <v>3.7136487662792206E-8</v>
      </c>
      <c r="AV21" s="13">
        <f>'24MS_Data'!AV21-MTOM_Data!AV21</f>
        <v>-8694.8073784638109</v>
      </c>
    </row>
    <row r="22" spans="1:48" x14ac:dyDescent="0.25">
      <c r="A22" s="49">
        <f t="shared" si="0"/>
        <v>44742</v>
      </c>
      <c r="B22" s="10">
        <f>'24MS_Data'!B22-MTOM_Data!B22</f>
        <v>8.3646392367882072E-2</v>
      </c>
      <c r="C22" s="11">
        <f>'24MS_Data'!C22-MTOM_Data!C22</f>
        <v>0</v>
      </c>
      <c r="D22" s="11">
        <f>'24MS_Data'!D22-MTOM_Data!D22</f>
        <v>32.504729999779499</v>
      </c>
      <c r="E22" s="11">
        <f>'24MS_Data'!E22-MTOM_Data!E22</f>
        <v>31.170048618418782</v>
      </c>
      <c r="F22" s="10">
        <f>'24MS_Data'!F22-MTOM_Data!F22</f>
        <v>4.7919474932714365</v>
      </c>
      <c r="G22" s="11">
        <f>'24MS_Data'!G22-MTOM_Data!G22</f>
        <v>32.504729999046702</v>
      </c>
      <c r="H22" s="11">
        <f>'24MS_Data'!H22-MTOM_Data!H22</f>
        <v>0</v>
      </c>
      <c r="I22" s="11">
        <f>'24MS_Data'!I22-MTOM_Data!I22</f>
        <v>-176.07024793352875</v>
      </c>
      <c r="J22" s="12">
        <f>'24MS_Data'!J22-MTOM_Data!J22</f>
        <v>-73.491215047112931</v>
      </c>
      <c r="K22" s="11">
        <f>'24MS_Data'!K22-MTOM_Data!K22</f>
        <v>-17.90667503280747</v>
      </c>
      <c r="L22" s="11">
        <f>'24MS_Data'!L22-MTOM_Data!L22</f>
        <v>0</v>
      </c>
      <c r="M22" s="11">
        <f>'24MS_Data'!M22-MTOM_Data!M22</f>
        <v>-2.8959800000028952</v>
      </c>
      <c r="N22" s="10">
        <f>'24MS_Data'!N22-MTOM_Data!N22</f>
        <v>-2.6728696194204531</v>
      </c>
      <c r="O22" s="11">
        <f>'24MS_Data'!O22-MTOM_Data!O22</f>
        <v>-2.8959799994481443</v>
      </c>
      <c r="P22" s="11">
        <f>'24MS_Data'!P22-MTOM_Data!P22</f>
        <v>0</v>
      </c>
      <c r="Q22" s="11">
        <f>'24MS_Data'!Q22-MTOM_Data!Q22</f>
        <v>1.1614464412458005</v>
      </c>
      <c r="R22" s="12">
        <f>'24MS_Data'!R22-MTOM_Data!R22</f>
        <v>0</v>
      </c>
      <c r="S22" s="11">
        <f>'24MS_Data'!S22-MTOM_Data!S22</f>
        <v>-3.4012817470174923</v>
      </c>
      <c r="T22" s="11">
        <f>'24MS_Data'!T22-MTOM_Data!T22</f>
        <v>1.16106312003933</v>
      </c>
      <c r="U22" s="11">
        <f>'24MS_Data'!U22-MTOM_Data!U22</f>
        <v>0</v>
      </c>
      <c r="V22" s="10">
        <f>'24MS_Data'!V22-MTOM_Data!V22</f>
        <v>-2.9548565976056125</v>
      </c>
      <c r="W22" s="11">
        <f>'24MS_Data'!W22-MTOM_Data!W22</f>
        <v>0</v>
      </c>
      <c r="X22" s="12">
        <f>'24MS_Data'!X22-MTOM_Data!X22</f>
        <v>-19.396150850563657</v>
      </c>
      <c r="Y22" s="11">
        <f>'24MS_Data'!Y22-MTOM_Data!Y22</f>
        <v>3.6884476887553319</v>
      </c>
      <c r="Z22" s="11">
        <f>'24MS_Data'!Z22-MTOM_Data!Z22</f>
        <v>-19.396150850621154</v>
      </c>
      <c r="AA22" s="11">
        <f>'24MS_Data'!AA22-MTOM_Data!AA22</f>
        <v>0</v>
      </c>
      <c r="AB22" s="11">
        <f>'24MS_Data'!AB22-MTOM_Data!AB22</f>
        <v>-17.88975995210118</v>
      </c>
      <c r="AC22" s="11">
        <f>'24MS_Data'!AC22-MTOM_Data!AC22</f>
        <v>0</v>
      </c>
      <c r="AD22" s="10">
        <f>'24MS_Data'!AD22-MTOM_Data!AD22</f>
        <v>-1.7650545969522682</v>
      </c>
      <c r="AE22" s="11">
        <f>'24MS_Data'!AE22-MTOM_Data!AE22</f>
        <v>-159.26038227255958</v>
      </c>
      <c r="AF22" s="11">
        <f>'24MS_Data'!AF22-MTOM_Data!AF22</f>
        <v>-192.79894476580375</v>
      </c>
      <c r="AG22" s="11">
        <f>'24MS_Data'!AG22-MTOM_Data!AG22</f>
        <v>0</v>
      </c>
      <c r="AH22" s="11">
        <f>'24MS_Data'!AH22-MTOM_Data!AH22</f>
        <v>-0.2142716925953323</v>
      </c>
      <c r="AI22" s="11">
        <f>'24MS_Data'!AI22-MTOM_Data!AI22</f>
        <v>-5.0704329623840749E-11</v>
      </c>
      <c r="AJ22" s="12">
        <f>'24MS_Data'!AJ22-MTOM_Data!AJ22</f>
        <v>0</v>
      </c>
      <c r="AK22" s="11">
        <f>'24MS_Data'!AK22-MTOM_Data!AK22</f>
        <v>-5.9089345711072383E-2</v>
      </c>
      <c r="AL22" s="11">
        <f>'24MS_Data'!AL22-MTOM_Data!AL22</f>
        <v>19142.94760237413</v>
      </c>
      <c r="AM22" s="11">
        <f>'24MS_Data'!AM22-MTOM_Data!AM22</f>
        <v>7.919068343380502</v>
      </c>
      <c r="AN22" s="10">
        <f>'24MS_Data'!AN22-MTOM_Data!AN22</f>
        <v>6.1720584199065343E-10</v>
      </c>
      <c r="AO22" s="11">
        <f>'24MS_Data'!AO22-MTOM_Data!AO22</f>
        <v>19142.94765383366</v>
      </c>
      <c r="AP22" s="12">
        <f>'24MS_Data'!AP22-MTOM_Data!AP22</f>
        <v>2.3122806393626121</v>
      </c>
      <c r="AQ22" s="11">
        <f>'24MS_Data'!AQ22-MTOM_Data!AQ22</f>
        <v>1.2221335055073723E-11</v>
      </c>
      <c r="AR22" s="11">
        <f>'24MS_Data'!AR22-MTOM_Data!AR22</f>
        <v>1275.5608713419642</v>
      </c>
      <c r="AS22" s="11">
        <f>'24MS_Data'!AS22-MTOM_Data!AS22</f>
        <v>87.375139891839353</v>
      </c>
      <c r="AT22" s="13">
        <f>'24MS_Data'!AT22-MTOM_Data!AT22</f>
        <v>4.005414666607976E-9</v>
      </c>
      <c r="AU22" s="11">
        <f>'24MS_Data'!AU22-MTOM_Data!AU22</f>
        <v>-3.6641722545027733E-8</v>
      </c>
      <c r="AV22" s="13">
        <f>'24MS_Data'!AV22-MTOM_Data!AV22</f>
        <v>17867.386782024536</v>
      </c>
    </row>
    <row r="23" spans="1:48" x14ac:dyDescent="0.25">
      <c r="A23" s="49">
        <f t="shared" si="0"/>
        <v>44773</v>
      </c>
      <c r="B23" s="10">
        <f>'24MS_Data'!B23-MTOM_Data!B23</f>
        <v>-2.2667899605276034</v>
      </c>
      <c r="C23" s="11">
        <f>'24MS_Data'!C23-MTOM_Data!C23</f>
        <v>0</v>
      </c>
      <c r="D23" s="11">
        <f>'24MS_Data'!D23-MTOM_Data!D23</f>
        <v>18.581282519734444</v>
      </c>
      <c r="E23" s="11">
        <f>'24MS_Data'!E23-MTOM_Data!E23</f>
        <v>17.542755177198714</v>
      </c>
      <c r="F23" s="10">
        <f>'24MS_Data'!F23-MTOM_Data!F23</f>
        <v>5.7626882911936264</v>
      </c>
      <c r="G23" s="11">
        <f>'24MS_Data'!G23-MTOM_Data!G23</f>
        <v>18.581282519656554</v>
      </c>
      <c r="H23" s="11">
        <f>'24MS_Data'!H23-MTOM_Data!H23</f>
        <v>0</v>
      </c>
      <c r="I23" s="11">
        <f>'24MS_Data'!I23-MTOM_Data!I23</f>
        <v>-22.657326590779533</v>
      </c>
      <c r="J23" s="12">
        <f>'24MS_Data'!J23-MTOM_Data!J23</f>
        <v>0</v>
      </c>
      <c r="K23" s="11">
        <f>'24MS_Data'!K23-MTOM_Data!K23</f>
        <v>-16.595415223097007</v>
      </c>
      <c r="L23" s="11">
        <f>'24MS_Data'!L23-MTOM_Data!L23</f>
        <v>0</v>
      </c>
      <c r="M23" s="11">
        <f>'24MS_Data'!M23-MTOM_Data!M23</f>
        <v>-2.6620499999967713</v>
      </c>
      <c r="N23" s="10">
        <f>'24MS_Data'!N23-MTOM_Data!N23</f>
        <v>-2.1751912729669129</v>
      </c>
      <c r="O23" s="11">
        <f>'24MS_Data'!O23-MTOM_Data!O23</f>
        <v>-2.6620500000668841</v>
      </c>
      <c r="P23" s="11">
        <f>'24MS_Data'!P23-MTOM_Data!P23</f>
        <v>0</v>
      </c>
      <c r="Q23" s="11">
        <f>'24MS_Data'!Q23-MTOM_Data!Q23</f>
        <v>-7.0644525526157054</v>
      </c>
      <c r="R23" s="12">
        <f>'24MS_Data'!R23-MTOM_Data!R23</f>
        <v>0</v>
      </c>
      <c r="S23" s="11">
        <f>'24MS_Data'!S23-MTOM_Data!S23</f>
        <v>-3.4066457021081078</v>
      </c>
      <c r="T23" s="11">
        <f>'24MS_Data'!T23-MTOM_Data!T23</f>
        <v>-7.0528248068021639</v>
      </c>
      <c r="U23" s="11">
        <f>'24MS_Data'!U23-MTOM_Data!U23</f>
        <v>0</v>
      </c>
      <c r="V23" s="10">
        <f>'24MS_Data'!V23-MTOM_Data!V23</f>
        <v>-5.02847863556417</v>
      </c>
      <c r="W23" s="11">
        <f>'24MS_Data'!W23-MTOM_Data!W23</f>
        <v>0</v>
      </c>
      <c r="X23" s="12">
        <f>'24MS_Data'!X23-MTOM_Data!X23</f>
        <v>4.9817249658175982</v>
      </c>
      <c r="Y23" s="11">
        <f>'24MS_Data'!Y23-MTOM_Data!Y23</f>
        <v>5.2228475959236675</v>
      </c>
      <c r="Z23" s="11">
        <f>'24MS_Data'!Z23-MTOM_Data!Z23</f>
        <v>4.9817249657206091</v>
      </c>
      <c r="AA23" s="11">
        <f>'24MS_Data'!AA23-MTOM_Data!AA23</f>
        <v>0</v>
      </c>
      <c r="AB23" s="11">
        <f>'24MS_Data'!AB23-MTOM_Data!AB23</f>
        <v>-15.433354631261551</v>
      </c>
      <c r="AC23" s="11">
        <f>'24MS_Data'!AC23-MTOM_Data!AC23</f>
        <v>0</v>
      </c>
      <c r="AD23" s="10">
        <f>'24MS_Data'!AD23-MTOM_Data!AD23</f>
        <v>-2.2109810103866039</v>
      </c>
      <c r="AE23" s="11">
        <f>'24MS_Data'!AE23-MTOM_Data!AE23</f>
        <v>-200.45154919338711</v>
      </c>
      <c r="AF23" s="11">
        <f>'24MS_Data'!AF23-MTOM_Data!AF23</f>
        <v>-45.143506028681372</v>
      </c>
      <c r="AG23" s="11">
        <f>'24MS_Data'!AG23-MTOM_Data!AG23</f>
        <v>0</v>
      </c>
      <c r="AH23" s="11">
        <f>'24MS_Data'!AH23-MTOM_Data!AH23</f>
        <v>-0.65704682157686989</v>
      </c>
      <c r="AI23" s="11">
        <f>'24MS_Data'!AI23-MTOM_Data!AI23</f>
        <v>-2.106617102981545E-10</v>
      </c>
      <c r="AJ23" s="12">
        <f>'24MS_Data'!AJ23-MTOM_Data!AJ23</f>
        <v>0</v>
      </c>
      <c r="AK23" s="11">
        <f>'24MS_Data'!AK23-MTOM_Data!AK23</f>
        <v>-0.29608040707648797</v>
      </c>
      <c r="AL23" s="11">
        <f>'24MS_Data'!AL23-MTOM_Data!AL23</f>
        <v>18989.283056160086</v>
      </c>
      <c r="AM23" s="11">
        <f>'24MS_Data'!AM23-MTOM_Data!AM23</f>
        <v>7.5196380888247063</v>
      </c>
      <c r="AN23" s="10">
        <f>'24MS_Data'!AN23-MTOM_Data!AN23</f>
        <v>7.7216100180521607E-10</v>
      </c>
      <c r="AO23" s="11">
        <f>'24MS_Data'!AO23-MTOM_Data!AO23</f>
        <v>18989.283056135289</v>
      </c>
      <c r="AP23" s="12">
        <f>'24MS_Data'!AP23-MTOM_Data!AP23</f>
        <v>2.3030794782126804</v>
      </c>
      <c r="AQ23" s="11">
        <f>'24MS_Data'!AQ23-MTOM_Data!AQ23</f>
        <v>3.9676706364843994E-11</v>
      </c>
      <c r="AR23" s="11">
        <f>'24MS_Data'!AR23-MTOM_Data!AR23</f>
        <v>1147.8785731130047</v>
      </c>
      <c r="AS23" s="11">
        <f>'24MS_Data'!AS23-MTOM_Data!AS23</f>
        <v>78.280512080316839</v>
      </c>
      <c r="AT23" s="13">
        <f>'24MS_Data'!AT23-MTOM_Data!AT23</f>
        <v>-3.8708094507455826E-9</v>
      </c>
      <c r="AU23" s="11">
        <f>'24MS_Data'!AU23-MTOM_Data!AU23</f>
        <v>-9.1800757218152285E-8</v>
      </c>
      <c r="AV23" s="13">
        <f>'24MS_Data'!AV23-MTOM_Data!AV23</f>
        <v>17841.404483022648</v>
      </c>
    </row>
    <row r="24" spans="1:48" x14ac:dyDescent="0.25">
      <c r="A24" s="49">
        <f t="shared" si="0"/>
        <v>44804</v>
      </c>
      <c r="B24" s="10">
        <f>'24MS_Data'!B24-MTOM_Data!B24</f>
        <v>2.1603833327098982</v>
      </c>
      <c r="C24" s="11">
        <f>'24MS_Data'!C24-MTOM_Data!C24</f>
        <v>0</v>
      </c>
      <c r="D24" s="11">
        <f>'24MS_Data'!D24-MTOM_Data!D24</f>
        <v>-34.645377909461303</v>
      </c>
      <c r="E24" s="11">
        <f>'24MS_Data'!E24-MTOM_Data!E24</f>
        <v>0</v>
      </c>
      <c r="F24" s="10">
        <f>'24MS_Data'!F24-MTOM_Data!F24</f>
        <v>4.7624458642994796</v>
      </c>
      <c r="G24" s="11">
        <f>'24MS_Data'!G24-MTOM_Data!G24</f>
        <v>-34.645377909553659</v>
      </c>
      <c r="H24" s="11">
        <f>'24MS_Data'!H24-MTOM_Data!H24</f>
        <v>0</v>
      </c>
      <c r="I24" s="11">
        <f>'24MS_Data'!I24-MTOM_Data!I24</f>
        <v>5.628720804951854</v>
      </c>
      <c r="J24" s="12">
        <f>'24MS_Data'!J24-MTOM_Data!J24</f>
        <v>0</v>
      </c>
      <c r="K24" s="11">
        <f>'24MS_Data'!K24-MTOM_Data!K24</f>
        <v>-14.656478444880122</v>
      </c>
      <c r="L24" s="11">
        <f>'24MS_Data'!L24-MTOM_Data!L24</f>
        <v>0</v>
      </c>
      <c r="M24" s="11">
        <f>'24MS_Data'!M24-MTOM_Data!M24</f>
        <v>-5.2843500000015204</v>
      </c>
      <c r="N24" s="10">
        <f>'24MS_Data'!N24-MTOM_Data!N24</f>
        <v>-5.3070935108735284E-2</v>
      </c>
      <c r="O24" s="11">
        <f>'24MS_Data'!O24-MTOM_Data!O24</f>
        <v>-5.2843499999062971</v>
      </c>
      <c r="P24" s="11">
        <f>'24MS_Data'!P24-MTOM_Data!P24</f>
        <v>0</v>
      </c>
      <c r="Q24" s="11">
        <f>'24MS_Data'!Q24-MTOM_Data!Q24</f>
        <v>-24.308163930527783</v>
      </c>
      <c r="R24" s="12">
        <f>'24MS_Data'!R24-MTOM_Data!R24</f>
        <v>0</v>
      </c>
      <c r="S24" s="11">
        <f>'24MS_Data'!S24-MTOM_Data!S24</f>
        <v>-3.4066457021126553</v>
      </c>
      <c r="T24" s="11">
        <f>'24MS_Data'!T24-MTOM_Data!T24</f>
        <v>-24.303768182734558</v>
      </c>
      <c r="U24" s="11">
        <f>'24MS_Data'!U24-MTOM_Data!U24</f>
        <v>0</v>
      </c>
      <c r="V24" s="10">
        <f>'24MS_Data'!V24-MTOM_Data!V24</f>
        <v>-5.7557523827681507</v>
      </c>
      <c r="W24" s="11">
        <f>'24MS_Data'!W24-MTOM_Data!W24</f>
        <v>0</v>
      </c>
      <c r="X24" s="12">
        <f>'24MS_Data'!X24-MTOM_Data!X24</f>
        <v>0.80722763208029136</v>
      </c>
      <c r="Y24" s="11">
        <f>'24MS_Data'!Y24-MTOM_Data!Y24</f>
        <v>4.5266416110607679</v>
      </c>
      <c r="Z24" s="11">
        <f>'24MS_Data'!Z24-MTOM_Data!Z24</f>
        <v>0.80722763204635584</v>
      </c>
      <c r="AA24" s="11">
        <f>'24MS_Data'!AA24-MTOM_Data!AA24</f>
        <v>0</v>
      </c>
      <c r="AB24" s="11">
        <f>'24MS_Data'!AB24-MTOM_Data!AB24</f>
        <v>12.136645368738421</v>
      </c>
      <c r="AC24" s="11">
        <f>'24MS_Data'!AC24-MTOM_Data!AC24</f>
        <v>0</v>
      </c>
      <c r="AD24" s="10">
        <f>'24MS_Data'!AD24-MTOM_Data!AD24</f>
        <v>-2.2989277234164547</v>
      </c>
      <c r="AE24" s="11">
        <f>'24MS_Data'!AE24-MTOM_Data!AE24</f>
        <v>-205.82297188288794</v>
      </c>
      <c r="AF24" s="11">
        <f>'24MS_Data'!AF24-MTOM_Data!AF24</f>
        <v>-6.5384020087053614</v>
      </c>
      <c r="AG24" s="11">
        <f>'24MS_Data'!AG24-MTOM_Data!AG24</f>
        <v>0</v>
      </c>
      <c r="AH24" s="11">
        <f>'24MS_Data'!AH24-MTOM_Data!AH24</f>
        <v>-0.73726569723967827</v>
      </c>
      <c r="AI24" s="11">
        <f>'24MS_Data'!AI24-MTOM_Data!AI24</f>
        <v>9.6861185738816857E-11</v>
      </c>
      <c r="AJ24" s="12">
        <f>'24MS_Data'!AJ24-MTOM_Data!AJ24</f>
        <v>0</v>
      </c>
      <c r="AK24" s="11">
        <f>'24MS_Data'!AK24-MTOM_Data!AK24</f>
        <v>-0.4569767979091921</v>
      </c>
      <c r="AL24" s="11">
        <f>'24MS_Data'!AL24-MTOM_Data!AL24</f>
        <v>12954.102039482095</v>
      </c>
      <c r="AM24" s="11">
        <f>'24MS_Data'!AM24-MTOM_Data!AM24</f>
        <v>4.9088765948184232</v>
      </c>
      <c r="AN24" s="10">
        <f>'24MS_Data'!AN24-MTOM_Data!AN24</f>
        <v>9.425775715499185E-10</v>
      </c>
      <c r="AO24" s="11">
        <f>'24MS_Data'!AO24-MTOM_Data!AO24</f>
        <v>12954.102039668476</v>
      </c>
      <c r="AP24" s="12">
        <f>'24MS_Data'!AP24-MTOM_Data!AP24</f>
        <v>1.5713280124087561</v>
      </c>
      <c r="AQ24" s="11">
        <f>'24MS_Data'!AQ24-MTOM_Data!AQ24</f>
        <v>1.4808847481617704E-9</v>
      </c>
      <c r="AR24" s="11">
        <f>'24MS_Data'!AR24-MTOM_Data!AR24</f>
        <v>970.91117410140578</v>
      </c>
      <c r="AS24" s="11">
        <f>'24MS_Data'!AS24-MTOM_Data!AS24</f>
        <v>65.704662714902952</v>
      </c>
      <c r="AT24" s="13">
        <f>'24MS_Data'!AT24-MTOM_Data!AT24</f>
        <v>1.2936652638018131E-8</v>
      </c>
      <c r="AU24" s="11">
        <f>'24MS_Data'!AU24-MTOM_Data!AU24</f>
        <v>-9.1800757218152285E-8</v>
      </c>
      <c r="AV24" s="13">
        <f>'24MS_Data'!AV24-MTOM_Data!AV24</f>
        <v>11983.190864449629</v>
      </c>
    </row>
    <row r="25" spans="1:48" x14ac:dyDescent="0.25">
      <c r="A25" s="49">
        <f t="shared" si="0"/>
        <v>44834</v>
      </c>
      <c r="B25" s="10">
        <f>'24MS_Data'!B25-MTOM_Data!B25</f>
        <v>3.247771280305642</v>
      </c>
      <c r="C25" s="11">
        <f>'24MS_Data'!C25-MTOM_Data!C25</f>
        <v>0</v>
      </c>
      <c r="D25" s="11">
        <f>'24MS_Data'!D25-MTOM_Data!D25</f>
        <v>-7.7085071476622815</v>
      </c>
      <c r="E25" s="11">
        <f>'24MS_Data'!E25-MTOM_Data!E25</f>
        <v>0</v>
      </c>
      <c r="F25" s="10">
        <f>'24MS_Data'!F25-MTOM_Data!F25</f>
        <v>4.3592226229666267</v>
      </c>
      <c r="G25" s="11">
        <f>'24MS_Data'!G25-MTOM_Data!G25</f>
        <v>-7.7085071476455198</v>
      </c>
      <c r="H25" s="11">
        <f>'24MS_Data'!H25-MTOM_Data!H25</f>
        <v>0</v>
      </c>
      <c r="I25" s="11">
        <f>'24MS_Data'!I25-MTOM_Data!I25</f>
        <v>9.5505337536693986</v>
      </c>
      <c r="J25" s="12">
        <f>'24MS_Data'!J25-MTOM_Data!J25</f>
        <v>0</v>
      </c>
      <c r="K25" s="11">
        <f>'24MS_Data'!K25-MTOM_Data!K25</f>
        <v>-12.322233169290485</v>
      </c>
      <c r="L25" s="11">
        <f>'24MS_Data'!L25-MTOM_Data!L25</f>
        <v>0</v>
      </c>
      <c r="M25" s="11">
        <f>'24MS_Data'!M25-MTOM_Data!M25</f>
        <v>-5.9383199999979741</v>
      </c>
      <c r="N25" s="10">
        <f>'24MS_Data'!N25-MTOM_Data!N25</f>
        <v>2.9009843861722402</v>
      </c>
      <c r="O25" s="11">
        <f>'24MS_Data'!O25-MTOM_Data!O25</f>
        <v>-5.9383199999391394</v>
      </c>
      <c r="P25" s="11">
        <f>'24MS_Data'!P25-MTOM_Data!P25</f>
        <v>0</v>
      </c>
      <c r="Q25" s="11">
        <f>'24MS_Data'!Q25-MTOM_Data!Q25</f>
        <v>-30.800767960253793</v>
      </c>
      <c r="R25" s="12">
        <f>'24MS_Data'!R25-MTOM_Data!R25</f>
        <v>0</v>
      </c>
      <c r="S25" s="11">
        <f>'24MS_Data'!S25-MTOM_Data!S25</f>
        <v>-3.4028864534393506</v>
      </c>
      <c r="T25" s="11">
        <f>'24MS_Data'!T25-MTOM_Data!T25</f>
        <v>-30.801036514695781</v>
      </c>
      <c r="U25" s="11">
        <f>'24MS_Data'!U25-MTOM_Data!U25</f>
        <v>-30.848521281691511</v>
      </c>
      <c r="V25" s="10">
        <f>'24MS_Data'!V25-MTOM_Data!V25</f>
        <v>-5.2157090447899463</v>
      </c>
      <c r="W25" s="11">
        <f>'24MS_Data'!W25-MTOM_Data!W25</f>
        <v>0</v>
      </c>
      <c r="X25" s="12">
        <f>'24MS_Data'!X25-MTOM_Data!X25</f>
        <v>-2.0725747482721353</v>
      </c>
      <c r="Y25" s="11">
        <f>'24MS_Data'!Y25-MTOM_Data!Y25</f>
        <v>0.17463312823292654</v>
      </c>
      <c r="Z25" s="11">
        <f>'24MS_Data'!Z25-MTOM_Data!Z25</f>
        <v>-2.0725747483337429</v>
      </c>
      <c r="AA25" s="11">
        <f>'24MS_Data'!AA25-MTOM_Data!AA25</f>
        <v>0</v>
      </c>
      <c r="AB25" s="11">
        <f>'24MS_Data'!AB25-MTOM_Data!AB25</f>
        <v>56.356402616962882</v>
      </c>
      <c r="AC25" s="11">
        <f>'24MS_Data'!AC25-MTOM_Data!AC25</f>
        <v>0</v>
      </c>
      <c r="AD25" s="10">
        <f>'24MS_Data'!AD25-MTOM_Data!AD25</f>
        <v>-1.9346363435743115</v>
      </c>
      <c r="AE25" s="11">
        <f>'24MS_Data'!AE25-MTOM_Data!AE25</f>
        <v>-172.73135064909366</v>
      </c>
      <c r="AF25" s="11">
        <f>'24MS_Data'!AF25-MTOM_Data!AF25</f>
        <v>35.10589985664501</v>
      </c>
      <c r="AG25" s="11">
        <f>'24MS_Data'!AG25-MTOM_Data!AG25</f>
        <v>0</v>
      </c>
      <c r="AH25" s="11">
        <f>'24MS_Data'!AH25-MTOM_Data!AH25</f>
        <v>-0.63305018680260616</v>
      </c>
      <c r="AI25" s="11">
        <f>'24MS_Data'!AI25-MTOM_Data!AI25</f>
        <v>1.5389787222375162E-9</v>
      </c>
      <c r="AJ25" s="12">
        <f>'24MS_Data'!AJ25-MTOM_Data!AJ25</f>
        <v>0</v>
      </c>
      <c r="AK25" s="11">
        <f>'24MS_Data'!AK25-MTOM_Data!AK25</f>
        <v>-0.47937321795143362</v>
      </c>
      <c r="AL25" s="11">
        <f>'24MS_Data'!AL25-MTOM_Data!AL25</f>
        <v>1623.3178072093287</v>
      </c>
      <c r="AM25" s="11">
        <f>'24MS_Data'!AM25-MTOM_Data!AM25</f>
        <v>0.36055234067072206</v>
      </c>
      <c r="AN25" s="10">
        <f>'24MS_Data'!AN25-MTOM_Data!AN25</f>
        <v>-1.2107648217352107E-9</v>
      </c>
      <c r="AO25" s="11">
        <f>'24MS_Data'!AO25-MTOM_Data!AO25</f>
        <v>1623.3178086297121</v>
      </c>
      <c r="AP25" s="12">
        <f>'24MS_Data'!AP25-MTOM_Data!AP25</f>
        <v>0.19558538753874188</v>
      </c>
      <c r="AQ25" s="11">
        <f>'24MS_Data'!AQ25-MTOM_Data!AQ25</f>
        <v>1.8644641386345029E-11</v>
      </c>
      <c r="AR25" s="11">
        <f>'24MS_Data'!AR25-MTOM_Data!AR25</f>
        <v>838.50662476487923</v>
      </c>
      <c r="AS25" s="11">
        <f>'24MS_Data'!AS25-MTOM_Data!AS25</f>
        <v>56.561430933397787</v>
      </c>
      <c r="AT25" s="13">
        <f>'24MS_Data'!AT25-MTOM_Data!AT25</f>
        <v>-3.9774022297933698E-8</v>
      </c>
      <c r="AU25" s="11">
        <f>'24MS_Data'!AU25-MTOM_Data!AU25</f>
        <v>5.9517333284020424E-8</v>
      </c>
      <c r="AV25" s="13">
        <f>'24MS_Data'!AV25-MTOM_Data!AV25</f>
        <v>784.81118401020649</v>
      </c>
    </row>
    <row r="26" spans="1:48" x14ac:dyDescent="0.25">
      <c r="A26" s="49">
        <f t="shared" si="0"/>
        <v>44865</v>
      </c>
      <c r="B26" s="10">
        <f>'24MS_Data'!B26-MTOM_Data!B26</f>
        <v>4.4118913049805997</v>
      </c>
      <c r="C26" s="11">
        <f>'24MS_Data'!C26-MTOM_Data!C26</f>
        <v>0</v>
      </c>
      <c r="D26" s="11">
        <f>'24MS_Data'!D26-MTOM_Data!D26</f>
        <v>-7.6522820113618906</v>
      </c>
      <c r="E26" s="11">
        <f>'24MS_Data'!E26-MTOM_Data!E26</f>
        <v>0</v>
      </c>
      <c r="F26" s="10">
        <f>'24MS_Data'!F26-MTOM_Data!F26</f>
        <v>4.5492205769278371</v>
      </c>
      <c r="G26" s="11">
        <f>'24MS_Data'!G26-MTOM_Data!G26</f>
        <v>-7.6522820113680723</v>
      </c>
      <c r="H26" s="11">
        <f>'24MS_Data'!H26-MTOM_Data!H26</f>
        <v>0</v>
      </c>
      <c r="I26" s="11">
        <f>'24MS_Data'!I26-MTOM_Data!I26</f>
        <v>-14.570558491850662</v>
      </c>
      <c r="J26" s="12">
        <f>'24MS_Data'!J26-MTOM_Data!J26</f>
        <v>0</v>
      </c>
      <c r="K26" s="11">
        <f>'24MS_Data'!K26-MTOM_Data!K26</f>
        <v>-14.939324868766562</v>
      </c>
      <c r="L26" s="11">
        <f>'24MS_Data'!L26-MTOM_Data!L26</f>
        <v>0</v>
      </c>
      <c r="M26" s="11">
        <f>'24MS_Data'!M26-MTOM_Data!M26</f>
        <v>2.8898200000027501</v>
      </c>
      <c r="N26" s="10">
        <f>'24MS_Data'!N26-MTOM_Data!N26</f>
        <v>3.679546784811464</v>
      </c>
      <c r="O26" s="11">
        <f>'24MS_Data'!O26-MTOM_Data!O26</f>
        <v>2.889819999914458</v>
      </c>
      <c r="P26" s="11">
        <f>'24MS_Data'!P26-MTOM_Data!P26</f>
        <v>0</v>
      </c>
      <c r="Q26" s="11">
        <f>'24MS_Data'!Q26-MTOM_Data!Q26</f>
        <v>-2.7060786943479513</v>
      </c>
      <c r="R26" s="12">
        <f>'24MS_Data'!R26-MTOM_Data!R26</f>
        <v>0</v>
      </c>
      <c r="S26" s="11">
        <f>'24MS_Data'!S26-MTOM_Data!S26</f>
        <v>-3.4066457021044698</v>
      </c>
      <c r="T26" s="11">
        <f>'24MS_Data'!T26-MTOM_Data!T26</f>
        <v>-2.6998425395735524</v>
      </c>
      <c r="U26" s="11">
        <f>'24MS_Data'!U26-MTOM_Data!U26</f>
        <v>0</v>
      </c>
      <c r="V26" s="10">
        <f>'24MS_Data'!V26-MTOM_Data!V26</f>
        <v>-5.8144322164807818</v>
      </c>
      <c r="W26" s="11">
        <f>'24MS_Data'!W26-MTOM_Data!W26</f>
        <v>0</v>
      </c>
      <c r="X26" s="12">
        <f>'24MS_Data'!X26-MTOM_Data!X26</f>
        <v>1.1298853862118179</v>
      </c>
      <c r="Y26" s="11">
        <f>'24MS_Data'!Y26-MTOM_Data!Y26</f>
        <v>0.49177229182168958</v>
      </c>
      <c r="Z26" s="11">
        <f>'24MS_Data'!Z26-MTOM_Data!Z26</f>
        <v>1.1298853862668565</v>
      </c>
      <c r="AA26" s="11">
        <f>'24MS_Data'!AA26-MTOM_Data!AA26</f>
        <v>0</v>
      </c>
      <c r="AB26" s="11">
        <f>'24MS_Data'!AB26-MTOM_Data!AB26</f>
        <v>-3.070661157024773</v>
      </c>
      <c r="AC26" s="11">
        <f>'24MS_Data'!AC26-MTOM_Data!AC26</f>
        <v>0</v>
      </c>
      <c r="AD26" s="10">
        <f>'24MS_Data'!AD26-MTOM_Data!AD26</f>
        <v>-2.1561126618180424</v>
      </c>
      <c r="AE26" s="11">
        <f>'24MS_Data'!AE26-MTOM_Data!AE26</f>
        <v>-191.17176907761132</v>
      </c>
      <c r="AF26" s="11">
        <f>'24MS_Data'!AF26-MTOM_Data!AF26</f>
        <v>-20.341062188799128</v>
      </c>
      <c r="AG26" s="11">
        <f>'24MS_Data'!AG26-MTOM_Data!AG26</f>
        <v>0</v>
      </c>
      <c r="AH26" s="11">
        <f>'24MS_Data'!AH26-MTOM_Data!AH26</f>
        <v>-0.42541074132229184</v>
      </c>
      <c r="AI26" s="11">
        <f>'24MS_Data'!AI26-MTOM_Data!AI26</f>
        <v>3.3230662666028365E-10</v>
      </c>
      <c r="AJ26" s="12">
        <f>'24MS_Data'!AJ26-MTOM_Data!AJ26</f>
        <v>0</v>
      </c>
      <c r="AK26" s="11">
        <f>'24MS_Data'!AK26-MTOM_Data!AK26</f>
        <v>-0.20277945889938565</v>
      </c>
      <c r="AL26" s="11">
        <f>'24MS_Data'!AL26-MTOM_Data!AL26</f>
        <v>-21727.835886986984</v>
      </c>
      <c r="AM26" s="11">
        <f>'24MS_Data'!AM26-MTOM_Data!AM26</f>
        <v>-8.8707103221909733</v>
      </c>
      <c r="AN26" s="10">
        <f>'24MS_Data'!AN26-MTOM_Data!AN26</f>
        <v>-1.2357759260339662E-10</v>
      </c>
      <c r="AO26" s="11">
        <f>'24MS_Data'!AO26-MTOM_Data!AO26</f>
        <v>-21727.835887510446</v>
      </c>
      <c r="AP26" s="12">
        <f>'24MS_Data'!AP26-MTOM_Data!AP26</f>
        <v>-2.5487242880579117</v>
      </c>
      <c r="AQ26" s="11">
        <f>'24MS_Data'!AQ26-MTOM_Data!AQ26</f>
        <v>0</v>
      </c>
      <c r="AR26" s="11">
        <f>'24MS_Data'!AR26-MTOM_Data!AR26</f>
        <v>-4.3857177085592411</v>
      </c>
      <c r="AS26" s="11">
        <f>'24MS_Data'!AS26-MTOM_Data!AS26</f>
        <v>-0.3026226258261886</v>
      </c>
      <c r="AT26" s="13">
        <f>'24MS_Data'!AT26-MTOM_Data!AT26</f>
        <v>4.0137820178642869E-8</v>
      </c>
      <c r="AU26" s="11">
        <f>'24MS_Data'!AU26-MTOM_Data!AU26</f>
        <v>3.7136487662792206E-8</v>
      </c>
      <c r="AV26" s="13">
        <f>'24MS_Data'!AV26-MTOM_Data!AV26</f>
        <v>-21723.450170872733</v>
      </c>
    </row>
    <row r="27" spans="1:48" x14ac:dyDescent="0.25">
      <c r="A27" s="49">
        <f t="shared" si="0"/>
        <v>44895</v>
      </c>
      <c r="B27" s="10">
        <f>'24MS_Data'!B27-MTOM_Data!B27</f>
        <v>5.6158191385593454</v>
      </c>
      <c r="C27" s="11">
        <f>'24MS_Data'!C27-MTOM_Data!C27</f>
        <v>0</v>
      </c>
      <c r="D27" s="11">
        <f>'24MS_Data'!D27-MTOM_Data!D27</f>
        <v>-7.4118858174466808</v>
      </c>
      <c r="E27" s="11">
        <f>'24MS_Data'!E27-MTOM_Data!E27</f>
        <v>0</v>
      </c>
      <c r="F27" s="10">
        <f>'24MS_Data'!F27-MTOM_Data!F27</f>
        <v>4.9791078705657128</v>
      </c>
      <c r="G27" s="11">
        <f>'24MS_Data'!G27-MTOM_Data!G27</f>
        <v>-7.4118858173879119</v>
      </c>
      <c r="H27" s="11">
        <f>'24MS_Data'!H27-MTOM_Data!H27</f>
        <v>0</v>
      </c>
      <c r="I27" s="11">
        <f>'24MS_Data'!I27-MTOM_Data!I27</f>
        <v>-23.664571350659585</v>
      </c>
      <c r="J27" s="12">
        <f>'24MS_Data'!J27-MTOM_Data!J27</f>
        <v>0</v>
      </c>
      <c r="K27" s="11">
        <f>'24MS_Data'!K27-MTOM_Data!K27</f>
        <v>-13.398851082676629</v>
      </c>
      <c r="L27" s="11">
        <f>'24MS_Data'!L27-MTOM_Data!L27</f>
        <v>0</v>
      </c>
      <c r="M27" s="11">
        <f>'24MS_Data'!M27-MTOM_Data!M27</f>
        <v>-2.4083200000020266</v>
      </c>
      <c r="N27" s="10">
        <f>'24MS_Data'!N27-MTOM_Data!N27</f>
        <v>5.0450931102368486</v>
      </c>
      <c r="O27" s="11">
        <f>'24MS_Data'!O27-MTOM_Data!O27</f>
        <v>-2.4083200000945162</v>
      </c>
      <c r="P27" s="11">
        <f>'24MS_Data'!P27-MTOM_Data!P27</f>
        <v>0</v>
      </c>
      <c r="Q27" s="11">
        <f>'24MS_Data'!Q27-MTOM_Data!Q27</f>
        <v>-13.357329518038064</v>
      </c>
      <c r="R27" s="12">
        <f>'24MS_Data'!R27-MTOM_Data!R27</f>
        <v>0</v>
      </c>
      <c r="S27" s="11">
        <f>'24MS_Data'!S27-MTOM_Data!S27</f>
        <v>-3.405681225913213</v>
      </c>
      <c r="T27" s="11">
        <f>'24MS_Data'!T27-MTOM_Data!T27</f>
        <v>-13.357398378297212</v>
      </c>
      <c r="U27" s="11">
        <f>'24MS_Data'!U27-MTOM_Data!U27</f>
        <v>0</v>
      </c>
      <c r="V27" s="10">
        <f>'24MS_Data'!V27-MTOM_Data!V27</f>
        <v>-3.7768811711894159</v>
      </c>
      <c r="W27" s="11">
        <f>'24MS_Data'!W27-MTOM_Data!W27</f>
        <v>0</v>
      </c>
      <c r="X27" s="12">
        <f>'24MS_Data'!X27-MTOM_Data!X27</f>
        <v>-4.2245479000058621</v>
      </c>
      <c r="Y27" s="11">
        <f>'24MS_Data'!Y27-MTOM_Data!Y27</f>
        <v>0.39604341674748866</v>
      </c>
      <c r="Z27" s="11">
        <f>'24MS_Data'!Z27-MTOM_Data!Z27</f>
        <v>-4.2245478999625128</v>
      </c>
      <c r="AA27" s="11">
        <f>'24MS_Data'!AA27-MTOM_Data!AA27</f>
        <v>0</v>
      </c>
      <c r="AB27" s="11">
        <f>'24MS_Data'!AB27-MTOM_Data!AB27</f>
        <v>-2.9764462809917127</v>
      </c>
      <c r="AC27" s="11">
        <f>'24MS_Data'!AC27-MTOM_Data!AC27</f>
        <v>0</v>
      </c>
      <c r="AD27" s="10">
        <f>'24MS_Data'!AD27-MTOM_Data!AD27</f>
        <v>-2.5951200900603908</v>
      </c>
      <c r="AE27" s="11">
        <f>'24MS_Data'!AE27-MTOM_Data!AE27</f>
        <v>-227.77663205905992</v>
      </c>
      <c r="AF27" s="11">
        <f>'24MS_Data'!AF27-MTOM_Data!AF27</f>
        <v>-39.998416010761161</v>
      </c>
      <c r="AG27" s="11">
        <f>'24MS_Data'!AG27-MTOM_Data!AG27</f>
        <v>0</v>
      </c>
      <c r="AH27" s="11">
        <f>'24MS_Data'!AH27-MTOM_Data!AH27</f>
        <v>-0.46516493634810985</v>
      </c>
      <c r="AI27" s="11">
        <f>'24MS_Data'!AI27-MTOM_Data!AI27</f>
        <v>3.3708147384459153E-10</v>
      </c>
      <c r="AJ27" s="12">
        <f>'24MS_Data'!AJ27-MTOM_Data!AJ27</f>
        <v>0</v>
      </c>
      <c r="AK27" s="11">
        <f>'24MS_Data'!AK27-MTOM_Data!AK27</f>
        <v>4.1668087158768685E-2</v>
      </c>
      <c r="AL27" s="11">
        <f>'24MS_Data'!AL27-MTOM_Data!AL27</f>
        <v>-19594.516542636091</v>
      </c>
      <c r="AM27" s="11">
        <f>'24MS_Data'!AM27-MTOM_Data!AM27</f>
        <v>-8.3866416483384114</v>
      </c>
      <c r="AN27" s="10">
        <f>'24MS_Data'!AN27-MTOM_Data!AN27</f>
        <v>1.5796786101418547E-9</v>
      </c>
      <c r="AO27" s="11">
        <f>'24MS_Data'!AO27-MTOM_Data!AO27</f>
        <v>-19594.51654241106</v>
      </c>
      <c r="AP27" s="12">
        <f>'24MS_Data'!AP27-MTOM_Data!AP27</f>
        <v>-2.2761981610255759</v>
      </c>
      <c r="AQ27" s="11">
        <f>'24MS_Data'!AQ27-MTOM_Data!AQ27</f>
        <v>5.9685589803848416E-12</v>
      </c>
      <c r="AR27" s="11">
        <f>'24MS_Data'!AR27-MTOM_Data!AR27</f>
        <v>-371.96596579370089</v>
      </c>
      <c r="AS27" s="11">
        <f>'24MS_Data'!AS27-MTOM_Data!AS27</f>
        <v>-25.640768417095387</v>
      </c>
      <c r="AT27" s="13">
        <f>'24MS_Data'!AT27-MTOM_Data!AT27</f>
        <v>-9.4769347924739122E-9</v>
      </c>
      <c r="AU27" s="11">
        <f>'24MS_Data'!AU27-MTOM_Data!AU27</f>
        <v>-3.6627170629799366E-8</v>
      </c>
      <c r="AV27" s="13">
        <f>'24MS_Data'!AV27-MTOM_Data!AV27</f>
        <v>-19222.550578442679</v>
      </c>
    </row>
    <row r="28" spans="1:48" x14ac:dyDescent="0.25">
      <c r="A28" s="49">
        <f t="shared" si="0"/>
        <v>44926</v>
      </c>
      <c r="B28" s="10">
        <f>'24MS_Data'!B28-MTOM_Data!B28</f>
        <v>0</v>
      </c>
      <c r="C28" s="11">
        <f>'24MS_Data'!C28-MTOM_Data!C28</f>
        <v>0</v>
      </c>
      <c r="D28" s="11">
        <f>'24MS_Data'!D28-MTOM_Data!D28</f>
        <v>0</v>
      </c>
      <c r="E28" s="11">
        <f>'24MS_Data'!E28-MTOM_Data!E28</f>
        <v>0</v>
      </c>
      <c r="F28" s="10">
        <f>'24MS_Data'!F28-MTOM_Data!F28</f>
        <v>0</v>
      </c>
      <c r="G28" s="11">
        <f>'24MS_Data'!G28-MTOM_Data!G28</f>
        <v>0</v>
      </c>
      <c r="H28" s="11">
        <f>'24MS_Data'!H28-MTOM_Data!H28</f>
        <v>0</v>
      </c>
      <c r="I28" s="11">
        <f>'24MS_Data'!I28-MTOM_Data!I28</f>
        <v>0</v>
      </c>
      <c r="J28" s="12">
        <f>'24MS_Data'!J28-MTOM_Data!J28</f>
        <v>0</v>
      </c>
      <c r="K28" s="11">
        <f>'24MS_Data'!K28-MTOM_Data!K28</f>
        <v>0</v>
      </c>
      <c r="L28" s="11">
        <f>'24MS_Data'!L28-MTOM_Data!L28</f>
        <v>0</v>
      </c>
      <c r="M28" s="11">
        <f>'24MS_Data'!M28-MTOM_Data!M28</f>
        <v>0</v>
      </c>
      <c r="N28" s="10">
        <f>'24MS_Data'!N28-MTOM_Data!N28</f>
        <v>0</v>
      </c>
      <c r="O28" s="11">
        <f>'24MS_Data'!O28-MTOM_Data!O28</f>
        <v>0</v>
      </c>
      <c r="P28" s="11">
        <f>'24MS_Data'!P28-MTOM_Data!P28</f>
        <v>0</v>
      </c>
      <c r="Q28" s="11">
        <f>'24MS_Data'!Q28-MTOM_Data!Q28</f>
        <v>0</v>
      </c>
      <c r="R28" s="12">
        <f>'24MS_Data'!R28-MTOM_Data!R28</f>
        <v>0</v>
      </c>
      <c r="S28" s="11">
        <f>'24MS_Data'!S28-MTOM_Data!S28</f>
        <v>0</v>
      </c>
      <c r="T28" s="11">
        <f>'24MS_Data'!T28-MTOM_Data!T28</f>
        <v>0</v>
      </c>
      <c r="U28" s="11">
        <f>'24MS_Data'!U28-MTOM_Data!U28</f>
        <v>0</v>
      </c>
      <c r="V28" s="10">
        <f>'24MS_Data'!V28-MTOM_Data!V28</f>
        <v>0</v>
      </c>
      <c r="W28" s="11">
        <f>'24MS_Data'!W28-MTOM_Data!W28</f>
        <v>0</v>
      </c>
      <c r="X28" s="12">
        <f>'24MS_Data'!X28-MTOM_Data!X28</f>
        <v>0</v>
      </c>
      <c r="Y28" s="11">
        <f>'24MS_Data'!Y28-MTOM_Data!Y28</f>
        <v>0</v>
      </c>
      <c r="Z28" s="11">
        <f>'24MS_Data'!Z28-MTOM_Data!Z28</f>
        <v>0</v>
      </c>
      <c r="AA28" s="11">
        <f>'24MS_Data'!AA28-MTOM_Data!AA28</f>
        <v>0</v>
      </c>
      <c r="AB28" s="11">
        <f>'24MS_Data'!AB28-MTOM_Data!AB28</f>
        <v>0</v>
      </c>
      <c r="AC28" s="11">
        <f>'24MS_Data'!AC28-MTOM_Data!AC28</f>
        <v>0</v>
      </c>
      <c r="AD28" s="10">
        <f>'24MS_Data'!AD28-MTOM_Data!AD28</f>
        <v>0</v>
      </c>
      <c r="AE28" s="11">
        <f>'24MS_Data'!AE28-MTOM_Data!AE28</f>
        <v>0</v>
      </c>
      <c r="AF28" s="11">
        <f>'24MS_Data'!AF28-MTOM_Data!AF28</f>
        <v>0</v>
      </c>
      <c r="AG28" s="11">
        <f>'24MS_Data'!AG28-MTOM_Data!AG28</f>
        <v>0</v>
      </c>
      <c r="AH28" s="11">
        <f>'24MS_Data'!AH28-MTOM_Data!AH28</f>
        <v>0</v>
      </c>
      <c r="AI28" s="11">
        <f>'24MS_Data'!AI28-MTOM_Data!AI28</f>
        <v>0</v>
      </c>
      <c r="AJ28" s="12">
        <f>'24MS_Data'!AJ28-MTOM_Data!AJ28</f>
        <v>0</v>
      </c>
      <c r="AK28" s="11">
        <f>'24MS_Data'!AK28-MTOM_Data!AK28</f>
        <v>0</v>
      </c>
      <c r="AL28" s="11">
        <f>'24MS_Data'!AL28-MTOM_Data!AL28</f>
        <v>0</v>
      </c>
      <c r="AM28" s="11">
        <f>'24MS_Data'!AM28-MTOM_Data!AM28</f>
        <v>0</v>
      </c>
      <c r="AN28" s="10">
        <f>'24MS_Data'!AN28-MTOM_Data!AN28</f>
        <v>0</v>
      </c>
      <c r="AO28" s="11">
        <f>'24MS_Data'!AO28-MTOM_Data!AO28</f>
        <v>0</v>
      </c>
      <c r="AP28" s="12">
        <f>'24MS_Data'!AP28-MTOM_Data!AP28</f>
        <v>0</v>
      </c>
      <c r="AQ28" s="11">
        <f>'24MS_Data'!AQ28-MTOM_Data!AQ28</f>
        <v>0</v>
      </c>
      <c r="AR28" s="11">
        <f>'24MS_Data'!AR28-MTOM_Data!AR28</f>
        <v>0</v>
      </c>
      <c r="AS28" s="11">
        <f>'24MS_Data'!AS28-MTOM_Data!AS28</f>
        <v>0</v>
      </c>
      <c r="AT28" s="13">
        <f>'24MS_Data'!AT28-MTOM_Data!AT28</f>
        <v>0</v>
      </c>
      <c r="AU28" s="11">
        <f>'24MS_Data'!AU28-MTOM_Data!AU28</f>
        <v>0</v>
      </c>
      <c r="AV28" s="13">
        <f>'24MS_Data'!AV28-MTOM_Data!AV28</f>
        <v>0</v>
      </c>
    </row>
    <row r="29" spans="1:48" x14ac:dyDescent="0.25">
      <c r="A29" s="49">
        <f t="shared" si="0"/>
        <v>44957</v>
      </c>
      <c r="B29" s="10">
        <f>'24MS_Data'!B29-MTOM_Data!B29</f>
        <v>0</v>
      </c>
      <c r="C29" s="11">
        <f>'24MS_Data'!C29-MTOM_Data!C29</f>
        <v>0</v>
      </c>
      <c r="D29" s="11">
        <f>'24MS_Data'!D29-MTOM_Data!D29</f>
        <v>0</v>
      </c>
      <c r="E29" s="11">
        <f>'24MS_Data'!E29-MTOM_Data!E29</f>
        <v>0</v>
      </c>
      <c r="F29" s="10">
        <f>'24MS_Data'!F29-MTOM_Data!F29</f>
        <v>0</v>
      </c>
      <c r="G29" s="11">
        <f>'24MS_Data'!G29-MTOM_Data!G29</f>
        <v>0</v>
      </c>
      <c r="H29" s="11">
        <f>'24MS_Data'!H29-MTOM_Data!H29</f>
        <v>0</v>
      </c>
      <c r="I29" s="11">
        <f>'24MS_Data'!I29-MTOM_Data!I29</f>
        <v>0</v>
      </c>
      <c r="J29" s="12">
        <f>'24MS_Data'!J29-MTOM_Data!J29</f>
        <v>0</v>
      </c>
      <c r="K29" s="11">
        <f>'24MS_Data'!K29-MTOM_Data!K29</f>
        <v>0</v>
      </c>
      <c r="L29" s="11">
        <f>'24MS_Data'!L29-MTOM_Data!L29</f>
        <v>0</v>
      </c>
      <c r="M29" s="11">
        <f>'24MS_Data'!M29-MTOM_Data!M29</f>
        <v>0</v>
      </c>
      <c r="N29" s="10">
        <f>'24MS_Data'!N29-MTOM_Data!N29</f>
        <v>0</v>
      </c>
      <c r="O29" s="11">
        <f>'24MS_Data'!O29-MTOM_Data!O29</f>
        <v>0</v>
      </c>
      <c r="P29" s="11">
        <f>'24MS_Data'!P29-MTOM_Data!P29</f>
        <v>0</v>
      </c>
      <c r="Q29" s="11">
        <f>'24MS_Data'!Q29-MTOM_Data!Q29</f>
        <v>0</v>
      </c>
      <c r="R29" s="12">
        <f>'24MS_Data'!R29-MTOM_Data!R29</f>
        <v>0</v>
      </c>
      <c r="S29" s="11">
        <f>'24MS_Data'!S29-MTOM_Data!S29</f>
        <v>0</v>
      </c>
      <c r="T29" s="11">
        <f>'24MS_Data'!T29-MTOM_Data!T29</f>
        <v>0</v>
      </c>
      <c r="U29" s="11">
        <f>'24MS_Data'!U29-MTOM_Data!U29</f>
        <v>0</v>
      </c>
      <c r="V29" s="10">
        <f>'24MS_Data'!V29-MTOM_Data!V29</f>
        <v>0</v>
      </c>
      <c r="W29" s="11">
        <f>'24MS_Data'!W29-MTOM_Data!W29</f>
        <v>0</v>
      </c>
      <c r="X29" s="12">
        <f>'24MS_Data'!X29-MTOM_Data!X29</f>
        <v>0</v>
      </c>
      <c r="Y29" s="11">
        <f>'24MS_Data'!Y29-MTOM_Data!Y29</f>
        <v>0</v>
      </c>
      <c r="Z29" s="11">
        <f>'24MS_Data'!Z29-MTOM_Data!Z29</f>
        <v>0</v>
      </c>
      <c r="AA29" s="11">
        <f>'24MS_Data'!AA29-MTOM_Data!AA29</f>
        <v>0</v>
      </c>
      <c r="AB29" s="11">
        <f>'24MS_Data'!AB29-MTOM_Data!AB29</f>
        <v>0</v>
      </c>
      <c r="AC29" s="11">
        <f>'24MS_Data'!AC29-MTOM_Data!AC29</f>
        <v>0</v>
      </c>
      <c r="AD29" s="10">
        <f>'24MS_Data'!AD29-MTOM_Data!AD29</f>
        <v>0</v>
      </c>
      <c r="AE29" s="11">
        <f>'24MS_Data'!AE29-MTOM_Data!AE29</f>
        <v>0</v>
      </c>
      <c r="AF29" s="11">
        <f>'24MS_Data'!AF29-MTOM_Data!AF29</f>
        <v>0</v>
      </c>
      <c r="AG29" s="11">
        <f>'24MS_Data'!AG29-MTOM_Data!AG29</f>
        <v>0</v>
      </c>
      <c r="AH29" s="11">
        <f>'24MS_Data'!AH29-MTOM_Data!AH29</f>
        <v>0</v>
      </c>
      <c r="AI29" s="11">
        <f>'24MS_Data'!AI29-MTOM_Data!AI29</f>
        <v>0</v>
      </c>
      <c r="AJ29" s="12">
        <f>'24MS_Data'!AJ29-MTOM_Data!AJ29</f>
        <v>0</v>
      </c>
      <c r="AK29" s="11">
        <f>'24MS_Data'!AK29-MTOM_Data!AK29</f>
        <v>0</v>
      </c>
      <c r="AL29" s="11">
        <f>'24MS_Data'!AL29-MTOM_Data!AL29</f>
        <v>0</v>
      </c>
      <c r="AM29" s="11">
        <f>'24MS_Data'!AM29-MTOM_Data!AM29</f>
        <v>0</v>
      </c>
      <c r="AN29" s="10">
        <f>'24MS_Data'!AN29-MTOM_Data!AN29</f>
        <v>0</v>
      </c>
      <c r="AO29" s="11">
        <f>'24MS_Data'!AO29-MTOM_Data!AO29</f>
        <v>0</v>
      </c>
      <c r="AP29" s="12">
        <f>'24MS_Data'!AP29-MTOM_Data!AP29</f>
        <v>0</v>
      </c>
      <c r="AQ29" s="11">
        <f>'24MS_Data'!AQ29-MTOM_Data!AQ29</f>
        <v>0</v>
      </c>
      <c r="AR29" s="11">
        <f>'24MS_Data'!AR29-MTOM_Data!AR29</f>
        <v>0</v>
      </c>
      <c r="AS29" s="11">
        <f>'24MS_Data'!AS29-MTOM_Data!AS29</f>
        <v>0</v>
      </c>
      <c r="AT29" s="13">
        <f>'24MS_Data'!AT29-MTOM_Data!AT29</f>
        <v>0</v>
      </c>
      <c r="AU29" s="11">
        <f>'24MS_Data'!AU29-MTOM_Data!AU29</f>
        <v>0</v>
      </c>
      <c r="AV29" s="13">
        <f>'24MS_Data'!AV29-MTOM_Data!AV29</f>
        <v>0</v>
      </c>
    </row>
    <row r="30" spans="1:48" x14ac:dyDescent="0.25">
      <c r="A30" s="49">
        <f t="shared" si="0"/>
        <v>44985</v>
      </c>
      <c r="B30" s="10">
        <f>'24MS_Data'!B30-MTOM_Data!B30</f>
        <v>0</v>
      </c>
      <c r="C30" s="11">
        <f>'24MS_Data'!C30-MTOM_Data!C30</f>
        <v>0</v>
      </c>
      <c r="D30" s="11">
        <f>'24MS_Data'!D30-MTOM_Data!D30</f>
        <v>0</v>
      </c>
      <c r="E30" s="11">
        <f>'24MS_Data'!E30-MTOM_Data!E30</f>
        <v>0</v>
      </c>
      <c r="F30" s="10">
        <f>'24MS_Data'!F30-MTOM_Data!F30</f>
        <v>0</v>
      </c>
      <c r="G30" s="11">
        <f>'24MS_Data'!G30-MTOM_Data!G30</f>
        <v>0</v>
      </c>
      <c r="H30" s="11">
        <f>'24MS_Data'!H30-MTOM_Data!H30</f>
        <v>0</v>
      </c>
      <c r="I30" s="11">
        <f>'24MS_Data'!I30-MTOM_Data!I30</f>
        <v>0</v>
      </c>
      <c r="J30" s="12">
        <f>'24MS_Data'!J30-MTOM_Data!J30</f>
        <v>0</v>
      </c>
      <c r="K30" s="11">
        <f>'24MS_Data'!K30-MTOM_Data!K30</f>
        <v>0</v>
      </c>
      <c r="L30" s="11">
        <f>'24MS_Data'!L30-MTOM_Data!L30</f>
        <v>0</v>
      </c>
      <c r="M30" s="11">
        <f>'24MS_Data'!M30-MTOM_Data!M30</f>
        <v>0</v>
      </c>
      <c r="N30" s="10">
        <f>'24MS_Data'!N30-MTOM_Data!N30</f>
        <v>0</v>
      </c>
      <c r="O30" s="11">
        <f>'24MS_Data'!O30-MTOM_Data!O30</f>
        <v>0</v>
      </c>
      <c r="P30" s="11">
        <f>'24MS_Data'!P30-MTOM_Data!P30</f>
        <v>0</v>
      </c>
      <c r="Q30" s="11">
        <f>'24MS_Data'!Q30-MTOM_Data!Q30</f>
        <v>0</v>
      </c>
      <c r="R30" s="12">
        <f>'24MS_Data'!R30-MTOM_Data!R30</f>
        <v>0</v>
      </c>
      <c r="S30" s="11">
        <f>'24MS_Data'!S30-MTOM_Data!S30</f>
        <v>0</v>
      </c>
      <c r="T30" s="11">
        <f>'24MS_Data'!T30-MTOM_Data!T30</f>
        <v>0</v>
      </c>
      <c r="U30" s="11">
        <f>'24MS_Data'!U30-MTOM_Data!U30</f>
        <v>0</v>
      </c>
      <c r="V30" s="10">
        <f>'24MS_Data'!V30-MTOM_Data!V30</f>
        <v>0</v>
      </c>
      <c r="W30" s="11">
        <f>'24MS_Data'!W30-MTOM_Data!W30</f>
        <v>0</v>
      </c>
      <c r="X30" s="12">
        <f>'24MS_Data'!X30-MTOM_Data!X30</f>
        <v>0</v>
      </c>
      <c r="Y30" s="11">
        <f>'24MS_Data'!Y30-MTOM_Data!Y30</f>
        <v>0</v>
      </c>
      <c r="Z30" s="11">
        <f>'24MS_Data'!Z30-MTOM_Data!Z30</f>
        <v>0</v>
      </c>
      <c r="AA30" s="11">
        <f>'24MS_Data'!AA30-MTOM_Data!AA30</f>
        <v>0</v>
      </c>
      <c r="AB30" s="11">
        <f>'24MS_Data'!AB30-MTOM_Data!AB30</f>
        <v>0</v>
      </c>
      <c r="AC30" s="11">
        <f>'24MS_Data'!AC30-MTOM_Data!AC30</f>
        <v>0</v>
      </c>
      <c r="AD30" s="10">
        <f>'24MS_Data'!AD30-MTOM_Data!AD30</f>
        <v>0</v>
      </c>
      <c r="AE30" s="11">
        <f>'24MS_Data'!AE30-MTOM_Data!AE30</f>
        <v>0</v>
      </c>
      <c r="AF30" s="11">
        <f>'24MS_Data'!AF30-MTOM_Data!AF30</f>
        <v>0</v>
      </c>
      <c r="AG30" s="11">
        <f>'24MS_Data'!AG30-MTOM_Data!AG30</f>
        <v>0</v>
      </c>
      <c r="AH30" s="11">
        <f>'24MS_Data'!AH30-MTOM_Data!AH30</f>
        <v>0</v>
      </c>
      <c r="AI30" s="11">
        <f>'24MS_Data'!AI30-MTOM_Data!AI30</f>
        <v>0</v>
      </c>
      <c r="AJ30" s="12">
        <f>'24MS_Data'!AJ30-MTOM_Data!AJ30</f>
        <v>0</v>
      </c>
      <c r="AK30" s="11">
        <f>'24MS_Data'!AK30-MTOM_Data!AK30</f>
        <v>0</v>
      </c>
      <c r="AL30" s="11">
        <f>'24MS_Data'!AL30-MTOM_Data!AL30</f>
        <v>0</v>
      </c>
      <c r="AM30" s="11">
        <f>'24MS_Data'!AM30-MTOM_Data!AM30</f>
        <v>0</v>
      </c>
      <c r="AN30" s="10">
        <f>'24MS_Data'!AN30-MTOM_Data!AN30</f>
        <v>0</v>
      </c>
      <c r="AO30" s="11">
        <f>'24MS_Data'!AO30-MTOM_Data!AO30</f>
        <v>0</v>
      </c>
      <c r="AP30" s="12">
        <f>'24MS_Data'!AP30-MTOM_Data!AP30</f>
        <v>0</v>
      </c>
      <c r="AQ30" s="11">
        <f>'24MS_Data'!AQ30-MTOM_Data!AQ30</f>
        <v>0</v>
      </c>
      <c r="AR30" s="11">
        <f>'24MS_Data'!AR30-MTOM_Data!AR30</f>
        <v>0</v>
      </c>
      <c r="AS30" s="11">
        <f>'24MS_Data'!AS30-MTOM_Data!AS30</f>
        <v>0</v>
      </c>
      <c r="AT30" s="13">
        <f>'24MS_Data'!AT30-MTOM_Data!AT30</f>
        <v>0</v>
      </c>
      <c r="AU30" s="11">
        <f>'24MS_Data'!AU30-MTOM_Data!AU30</f>
        <v>0</v>
      </c>
      <c r="AV30" s="13">
        <f>'24MS_Data'!AV30-MTOM_Data!AV30</f>
        <v>0</v>
      </c>
    </row>
    <row r="31" spans="1:48" x14ac:dyDescent="0.25">
      <c r="A31" s="49">
        <f t="shared" si="0"/>
        <v>45016</v>
      </c>
      <c r="B31" s="10">
        <f>'24MS_Data'!B31-MTOM_Data!B31</f>
        <v>0</v>
      </c>
      <c r="C31" s="11">
        <f>'24MS_Data'!C31-MTOM_Data!C31</f>
        <v>0</v>
      </c>
      <c r="D31" s="11">
        <f>'24MS_Data'!D31-MTOM_Data!D31</f>
        <v>0</v>
      </c>
      <c r="E31" s="11">
        <f>'24MS_Data'!E31-MTOM_Data!E31</f>
        <v>0</v>
      </c>
      <c r="F31" s="10">
        <f>'24MS_Data'!F31-MTOM_Data!F31</f>
        <v>0</v>
      </c>
      <c r="G31" s="11">
        <f>'24MS_Data'!G31-MTOM_Data!G31</f>
        <v>0</v>
      </c>
      <c r="H31" s="11">
        <f>'24MS_Data'!H31-MTOM_Data!H31</f>
        <v>0</v>
      </c>
      <c r="I31" s="11">
        <f>'24MS_Data'!I31-MTOM_Data!I31</f>
        <v>0</v>
      </c>
      <c r="J31" s="12">
        <f>'24MS_Data'!J31-MTOM_Data!J31</f>
        <v>0</v>
      </c>
      <c r="K31" s="11">
        <f>'24MS_Data'!K31-MTOM_Data!K31</f>
        <v>0</v>
      </c>
      <c r="L31" s="11">
        <f>'24MS_Data'!L31-MTOM_Data!L31</f>
        <v>0</v>
      </c>
      <c r="M31" s="11">
        <f>'24MS_Data'!M31-MTOM_Data!M31</f>
        <v>0</v>
      </c>
      <c r="N31" s="10">
        <f>'24MS_Data'!N31-MTOM_Data!N31</f>
        <v>0</v>
      </c>
      <c r="O31" s="11">
        <f>'24MS_Data'!O31-MTOM_Data!O31</f>
        <v>0</v>
      </c>
      <c r="P31" s="11">
        <f>'24MS_Data'!P31-MTOM_Data!P31</f>
        <v>0</v>
      </c>
      <c r="Q31" s="11">
        <f>'24MS_Data'!Q31-MTOM_Data!Q31</f>
        <v>0</v>
      </c>
      <c r="R31" s="12">
        <f>'24MS_Data'!R31-MTOM_Data!R31</f>
        <v>0</v>
      </c>
      <c r="S31" s="11">
        <f>'24MS_Data'!S31-MTOM_Data!S31</f>
        <v>0</v>
      </c>
      <c r="T31" s="11">
        <f>'24MS_Data'!T31-MTOM_Data!T31</f>
        <v>0</v>
      </c>
      <c r="U31" s="11">
        <f>'24MS_Data'!U31-MTOM_Data!U31</f>
        <v>0</v>
      </c>
      <c r="V31" s="10">
        <f>'24MS_Data'!V31-MTOM_Data!V31</f>
        <v>0</v>
      </c>
      <c r="W31" s="11">
        <f>'24MS_Data'!W31-MTOM_Data!W31</f>
        <v>0</v>
      </c>
      <c r="X31" s="12">
        <f>'24MS_Data'!X31-MTOM_Data!X31</f>
        <v>0</v>
      </c>
      <c r="Y31" s="11">
        <f>'24MS_Data'!Y31-MTOM_Data!Y31</f>
        <v>0</v>
      </c>
      <c r="Z31" s="11">
        <f>'24MS_Data'!Z31-MTOM_Data!Z31</f>
        <v>0</v>
      </c>
      <c r="AA31" s="11">
        <f>'24MS_Data'!AA31-MTOM_Data!AA31</f>
        <v>0</v>
      </c>
      <c r="AB31" s="11">
        <f>'24MS_Data'!AB31-MTOM_Data!AB31</f>
        <v>0</v>
      </c>
      <c r="AC31" s="11">
        <f>'24MS_Data'!AC31-MTOM_Data!AC31</f>
        <v>0</v>
      </c>
      <c r="AD31" s="10">
        <f>'24MS_Data'!AD31-MTOM_Data!AD31</f>
        <v>0</v>
      </c>
      <c r="AE31" s="11">
        <f>'24MS_Data'!AE31-MTOM_Data!AE31</f>
        <v>0</v>
      </c>
      <c r="AF31" s="11">
        <f>'24MS_Data'!AF31-MTOM_Data!AF31</f>
        <v>0</v>
      </c>
      <c r="AG31" s="11">
        <f>'24MS_Data'!AG31-MTOM_Data!AG31</f>
        <v>0</v>
      </c>
      <c r="AH31" s="11">
        <f>'24MS_Data'!AH31-MTOM_Data!AH31</f>
        <v>0</v>
      </c>
      <c r="AI31" s="11">
        <f>'24MS_Data'!AI31-MTOM_Data!AI31</f>
        <v>0</v>
      </c>
      <c r="AJ31" s="12">
        <f>'24MS_Data'!AJ31-MTOM_Data!AJ31</f>
        <v>0</v>
      </c>
      <c r="AK31" s="11">
        <f>'24MS_Data'!AK31-MTOM_Data!AK31</f>
        <v>0</v>
      </c>
      <c r="AL31" s="11">
        <f>'24MS_Data'!AL31-MTOM_Data!AL31</f>
        <v>0</v>
      </c>
      <c r="AM31" s="11">
        <f>'24MS_Data'!AM31-MTOM_Data!AM31</f>
        <v>0</v>
      </c>
      <c r="AN31" s="10">
        <f>'24MS_Data'!AN31-MTOM_Data!AN31</f>
        <v>0</v>
      </c>
      <c r="AO31" s="11">
        <f>'24MS_Data'!AO31-MTOM_Data!AO31</f>
        <v>0</v>
      </c>
      <c r="AP31" s="12">
        <f>'24MS_Data'!AP31-MTOM_Data!AP31</f>
        <v>0</v>
      </c>
      <c r="AQ31" s="11">
        <f>'24MS_Data'!AQ31-MTOM_Data!AQ31</f>
        <v>0</v>
      </c>
      <c r="AR31" s="11">
        <f>'24MS_Data'!AR31-MTOM_Data!AR31</f>
        <v>0</v>
      </c>
      <c r="AS31" s="11">
        <f>'24MS_Data'!AS31-MTOM_Data!AS31</f>
        <v>0</v>
      </c>
      <c r="AT31" s="13">
        <f>'24MS_Data'!AT31-MTOM_Data!AT31</f>
        <v>0</v>
      </c>
      <c r="AU31" s="11">
        <f>'24MS_Data'!AU31-MTOM_Data!AU31</f>
        <v>0</v>
      </c>
      <c r="AV31" s="13">
        <f>'24MS_Data'!AV31-MTOM_Data!AV31</f>
        <v>0</v>
      </c>
    </row>
    <row r="32" spans="1:48" x14ac:dyDescent="0.25">
      <c r="A32" s="49">
        <f t="shared" si="0"/>
        <v>45046</v>
      </c>
      <c r="B32" s="10">
        <f>'24MS_Data'!B32-MTOM_Data!B32</f>
        <v>0</v>
      </c>
      <c r="C32" s="11">
        <f>'24MS_Data'!C32-MTOM_Data!C32</f>
        <v>0</v>
      </c>
      <c r="D32" s="11">
        <f>'24MS_Data'!D32-MTOM_Data!D32</f>
        <v>0</v>
      </c>
      <c r="E32" s="11">
        <f>'24MS_Data'!E32-MTOM_Data!E32</f>
        <v>0</v>
      </c>
      <c r="F32" s="10">
        <f>'24MS_Data'!F32-MTOM_Data!F32</f>
        <v>0</v>
      </c>
      <c r="G32" s="11">
        <f>'24MS_Data'!G32-MTOM_Data!G32</f>
        <v>0</v>
      </c>
      <c r="H32" s="11">
        <f>'24MS_Data'!H32-MTOM_Data!H32</f>
        <v>0</v>
      </c>
      <c r="I32" s="11">
        <f>'24MS_Data'!I32-MTOM_Data!I32</f>
        <v>0</v>
      </c>
      <c r="J32" s="12">
        <f>'24MS_Data'!J32-MTOM_Data!J32</f>
        <v>0</v>
      </c>
      <c r="K32" s="11">
        <f>'24MS_Data'!K32-MTOM_Data!K32</f>
        <v>0</v>
      </c>
      <c r="L32" s="11">
        <f>'24MS_Data'!L32-MTOM_Data!L32</f>
        <v>0</v>
      </c>
      <c r="M32" s="11">
        <f>'24MS_Data'!M32-MTOM_Data!M32</f>
        <v>0</v>
      </c>
      <c r="N32" s="10">
        <f>'24MS_Data'!N32-MTOM_Data!N32</f>
        <v>0</v>
      </c>
      <c r="O32" s="11">
        <f>'24MS_Data'!O32-MTOM_Data!O32</f>
        <v>0</v>
      </c>
      <c r="P32" s="11">
        <f>'24MS_Data'!P32-MTOM_Data!P32</f>
        <v>0</v>
      </c>
      <c r="Q32" s="11">
        <f>'24MS_Data'!Q32-MTOM_Data!Q32</f>
        <v>0</v>
      </c>
      <c r="R32" s="12">
        <f>'24MS_Data'!R32-MTOM_Data!R32</f>
        <v>0</v>
      </c>
      <c r="S32" s="11">
        <f>'24MS_Data'!S32-MTOM_Data!S32</f>
        <v>0</v>
      </c>
      <c r="T32" s="11">
        <f>'24MS_Data'!T32-MTOM_Data!T32</f>
        <v>0</v>
      </c>
      <c r="U32" s="11">
        <f>'24MS_Data'!U32-MTOM_Data!U32</f>
        <v>0</v>
      </c>
      <c r="V32" s="10">
        <f>'24MS_Data'!V32-MTOM_Data!V32</f>
        <v>0</v>
      </c>
      <c r="W32" s="11">
        <f>'24MS_Data'!W32-MTOM_Data!W32</f>
        <v>0</v>
      </c>
      <c r="X32" s="12">
        <f>'24MS_Data'!X32-MTOM_Data!X32</f>
        <v>0</v>
      </c>
      <c r="Y32" s="11">
        <f>'24MS_Data'!Y32-MTOM_Data!Y32</f>
        <v>0</v>
      </c>
      <c r="Z32" s="11">
        <f>'24MS_Data'!Z32-MTOM_Data!Z32</f>
        <v>0</v>
      </c>
      <c r="AA32" s="11">
        <f>'24MS_Data'!AA32-MTOM_Data!AA32</f>
        <v>0</v>
      </c>
      <c r="AB32" s="11">
        <f>'24MS_Data'!AB32-MTOM_Data!AB32</f>
        <v>0</v>
      </c>
      <c r="AC32" s="11">
        <f>'24MS_Data'!AC32-MTOM_Data!AC32</f>
        <v>0</v>
      </c>
      <c r="AD32" s="10">
        <f>'24MS_Data'!AD32-MTOM_Data!AD32</f>
        <v>0</v>
      </c>
      <c r="AE32" s="11">
        <f>'24MS_Data'!AE32-MTOM_Data!AE32</f>
        <v>0</v>
      </c>
      <c r="AF32" s="11">
        <f>'24MS_Data'!AF32-MTOM_Data!AF32</f>
        <v>0</v>
      </c>
      <c r="AG32" s="11">
        <f>'24MS_Data'!AG32-MTOM_Data!AG32</f>
        <v>0</v>
      </c>
      <c r="AH32" s="11">
        <f>'24MS_Data'!AH32-MTOM_Data!AH32</f>
        <v>0</v>
      </c>
      <c r="AI32" s="11">
        <f>'24MS_Data'!AI32-MTOM_Data!AI32</f>
        <v>0</v>
      </c>
      <c r="AJ32" s="12">
        <f>'24MS_Data'!AJ32-MTOM_Data!AJ32</f>
        <v>0</v>
      </c>
      <c r="AK32" s="11">
        <f>'24MS_Data'!AK32-MTOM_Data!AK32</f>
        <v>0</v>
      </c>
      <c r="AL32" s="11">
        <f>'24MS_Data'!AL32-MTOM_Data!AL32</f>
        <v>0</v>
      </c>
      <c r="AM32" s="11">
        <f>'24MS_Data'!AM32-MTOM_Data!AM32</f>
        <v>0</v>
      </c>
      <c r="AN32" s="10">
        <f>'24MS_Data'!AN32-MTOM_Data!AN32</f>
        <v>0</v>
      </c>
      <c r="AO32" s="11">
        <f>'24MS_Data'!AO32-MTOM_Data!AO32</f>
        <v>0</v>
      </c>
      <c r="AP32" s="12">
        <f>'24MS_Data'!AP32-MTOM_Data!AP32</f>
        <v>0</v>
      </c>
      <c r="AQ32" s="11">
        <f>'24MS_Data'!AQ32-MTOM_Data!AQ32</f>
        <v>0</v>
      </c>
      <c r="AR32" s="11">
        <f>'24MS_Data'!AR32-MTOM_Data!AR32</f>
        <v>0</v>
      </c>
      <c r="AS32" s="11">
        <f>'24MS_Data'!AS32-MTOM_Data!AS32</f>
        <v>0</v>
      </c>
      <c r="AT32" s="13">
        <f>'24MS_Data'!AT32-MTOM_Data!AT32</f>
        <v>0</v>
      </c>
      <c r="AU32" s="11">
        <f>'24MS_Data'!AU32-MTOM_Data!AU32</f>
        <v>0</v>
      </c>
      <c r="AV32" s="13">
        <f>'24MS_Data'!AV32-MTOM_Data!AV32</f>
        <v>0</v>
      </c>
    </row>
    <row r="33" spans="1:48" x14ac:dyDescent="0.25">
      <c r="A33" s="49">
        <f t="shared" si="0"/>
        <v>45077</v>
      </c>
      <c r="B33" s="10">
        <f>'24MS_Data'!B33-MTOM_Data!B33</f>
        <v>0</v>
      </c>
      <c r="C33" s="11">
        <f>'24MS_Data'!C33-MTOM_Data!C33</f>
        <v>0</v>
      </c>
      <c r="D33" s="11">
        <f>'24MS_Data'!D33-MTOM_Data!D33</f>
        <v>0</v>
      </c>
      <c r="E33" s="11">
        <f>'24MS_Data'!E33-MTOM_Data!E33</f>
        <v>0</v>
      </c>
      <c r="F33" s="10">
        <f>'24MS_Data'!F33-MTOM_Data!F33</f>
        <v>0</v>
      </c>
      <c r="G33" s="11">
        <f>'24MS_Data'!G33-MTOM_Data!G33</f>
        <v>0</v>
      </c>
      <c r="H33" s="11">
        <f>'24MS_Data'!H33-MTOM_Data!H33</f>
        <v>0</v>
      </c>
      <c r="I33" s="11">
        <f>'24MS_Data'!I33-MTOM_Data!I33</f>
        <v>0</v>
      </c>
      <c r="J33" s="12">
        <f>'24MS_Data'!J33-MTOM_Data!J33</f>
        <v>0</v>
      </c>
      <c r="K33" s="11">
        <f>'24MS_Data'!K33-MTOM_Data!K33</f>
        <v>0</v>
      </c>
      <c r="L33" s="11">
        <f>'24MS_Data'!L33-MTOM_Data!L33</f>
        <v>0</v>
      </c>
      <c r="M33" s="11">
        <f>'24MS_Data'!M33-MTOM_Data!M33</f>
        <v>0</v>
      </c>
      <c r="N33" s="10">
        <f>'24MS_Data'!N33-MTOM_Data!N33</f>
        <v>0</v>
      </c>
      <c r="O33" s="11">
        <f>'24MS_Data'!O33-MTOM_Data!O33</f>
        <v>0</v>
      </c>
      <c r="P33" s="11">
        <f>'24MS_Data'!P33-MTOM_Data!P33</f>
        <v>0</v>
      </c>
      <c r="Q33" s="11">
        <f>'24MS_Data'!Q33-MTOM_Data!Q33</f>
        <v>0</v>
      </c>
      <c r="R33" s="12">
        <f>'24MS_Data'!R33-MTOM_Data!R33</f>
        <v>0</v>
      </c>
      <c r="S33" s="11">
        <f>'24MS_Data'!S33-MTOM_Data!S33</f>
        <v>0</v>
      </c>
      <c r="T33" s="11">
        <f>'24MS_Data'!T33-MTOM_Data!T33</f>
        <v>0</v>
      </c>
      <c r="U33" s="11">
        <f>'24MS_Data'!U33-MTOM_Data!U33</f>
        <v>0</v>
      </c>
      <c r="V33" s="10">
        <f>'24MS_Data'!V33-MTOM_Data!V33</f>
        <v>0</v>
      </c>
      <c r="W33" s="11">
        <f>'24MS_Data'!W33-MTOM_Data!W33</f>
        <v>0</v>
      </c>
      <c r="X33" s="12">
        <f>'24MS_Data'!X33-MTOM_Data!X33</f>
        <v>0</v>
      </c>
      <c r="Y33" s="11">
        <f>'24MS_Data'!Y33-MTOM_Data!Y33</f>
        <v>0</v>
      </c>
      <c r="Z33" s="11">
        <f>'24MS_Data'!Z33-MTOM_Data!Z33</f>
        <v>0</v>
      </c>
      <c r="AA33" s="11">
        <f>'24MS_Data'!AA33-MTOM_Data!AA33</f>
        <v>0</v>
      </c>
      <c r="AB33" s="11">
        <f>'24MS_Data'!AB33-MTOM_Data!AB33</f>
        <v>0</v>
      </c>
      <c r="AC33" s="11">
        <f>'24MS_Data'!AC33-MTOM_Data!AC33</f>
        <v>0</v>
      </c>
      <c r="AD33" s="10">
        <f>'24MS_Data'!AD33-MTOM_Data!AD33</f>
        <v>0</v>
      </c>
      <c r="AE33" s="11">
        <f>'24MS_Data'!AE33-MTOM_Data!AE33</f>
        <v>0</v>
      </c>
      <c r="AF33" s="11">
        <f>'24MS_Data'!AF33-MTOM_Data!AF33</f>
        <v>0</v>
      </c>
      <c r="AG33" s="11">
        <f>'24MS_Data'!AG33-MTOM_Data!AG33</f>
        <v>0</v>
      </c>
      <c r="AH33" s="11">
        <f>'24MS_Data'!AH33-MTOM_Data!AH33</f>
        <v>0</v>
      </c>
      <c r="AI33" s="11">
        <f>'24MS_Data'!AI33-MTOM_Data!AI33</f>
        <v>0</v>
      </c>
      <c r="AJ33" s="12">
        <f>'24MS_Data'!AJ33-MTOM_Data!AJ33</f>
        <v>0</v>
      </c>
      <c r="AK33" s="11">
        <f>'24MS_Data'!AK33-MTOM_Data!AK33</f>
        <v>0</v>
      </c>
      <c r="AL33" s="11">
        <f>'24MS_Data'!AL33-MTOM_Data!AL33</f>
        <v>0</v>
      </c>
      <c r="AM33" s="11">
        <f>'24MS_Data'!AM33-MTOM_Data!AM33</f>
        <v>0</v>
      </c>
      <c r="AN33" s="10">
        <f>'24MS_Data'!AN33-MTOM_Data!AN33</f>
        <v>0</v>
      </c>
      <c r="AO33" s="11">
        <f>'24MS_Data'!AO33-MTOM_Data!AO33</f>
        <v>0</v>
      </c>
      <c r="AP33" s="12">
        <f>'24MS_Data'!AP33-MTOM_Data!AP33</f>
        <v>0</v>
      </c>
      <c r="AQ33" s="11">
        <f>'24MS_Data'!AQ33-MTOM_Data!AQ33</f>
        <v>0</v>
      </c>
      <c r="AR33" s="11">
        <f>'24MS_Data'!AR33-MTOM_Data!AR33</f>
        <v>0</v>
      </c>
      <c r="AS33" s="11">
        <f>'24MS_Data'!AS33-MTOM_Data!AS33</f>
        <v>0</v>
      </c>
      <c r="AT33" s="13">
        <f>'24MS_Data'!AT33-MTOM_Data!AT33</f>
        <v>0</v>
      </c>
      <c r="AU33" s="11">
        <f>'24MS_Data'!AU33-MTOM_Data!AU33</f>
        <v>0</v>
      </c>
      <c r="AV33" s="13">
        <f>'24MS_Data'!AV33-MTOM_Data!AV33</f>
        <v>0</v>
      </c>
    </row>
    <row r="34" spans="1:48" x14ac:dyDescent="0.25">
      <c r="A34" s="49">
        <f t="shared" si="0"/>
        <v>45107</v>
      </c>
      <c r="B34" s="10">
        <f>'24MS_Data'!B34-MTOM_Data!B34</f>
        <v>0</v>
      </c>
      <c r="C34" s="11">
        <f>'24MS_Data'!C34-MTOM_Data!C34</f>
        <v>0</v>
      </c>
      <c r="D34" s="11">
        <f>'24MS_Data'!D34-MTOM_Data!D34</f>
        <v>0</v>
      </c>
      <c r="E34" s="11">
        <f>'24MS_Data'!E34-MTOM_Data!E34</f>
        <v>0</v>
      </c>
      <c r="F34" s="10">
        <f>'24MS_Data'!F34-MTOM_Data!F34</f>
        <v>0</v>
      </c>
      <c r="G34" s="11">
        <f>'24MS_Data'!G34-MTOM_Data!G34</f>
        <v>0</v>
      </c>
      <c r="H34" s="11">
        <f>'24MS_Data'!H34-MTOM_Data!H34</f>
        <v>0</v>
      </c>
      <c r="I34" s="11">
        <f>'24MS_Data'!I34-MTOM_Data!I34</f>
        <v>0</v>
      </c>
      <c r="J34" s="12">
        <f>'24MS_Data'!J34-MTOM_Data!J34</f>
        <v>0</v>
      </c>
      <c r="K34" s="11">
        <f>'24MS_Data'!K34-MTOM_Data!K34</f>
        <v>0</v>
      </c>
      <c r="L34" s="11">
        <f>'24MS_Data'!L34-MTOM_Data!L34</f>
        <v>0</v>
      </c>
      <c r="M34" s="11">
        <f>'24MS_Data'!M34-MTOM_Data!M34</f>
        <v>0</v>
      </c>
      <c r="N34" s="10">
        <f>'24MS_Data'!N34-MTOM_Data!N34</f>
        <v>0</v>
      </c>
      <c r="O34" s="11">
        <f>'24MS_Data'!O34-MTOM_Data!O34</f>
        <v>0</v>
      </c>
      <c r="P34" s="11">
        <f>'24MS_Data'!P34-MTOM_Data!P34</f>
        <v>0</v>
      </c>
      <c r="Q34" s="11">
        <f>'24MS_Data'!Q34-MTOM_Data!Q34</f>
        <v>0</v>
      </c>
      <c r="R34" s="12">
        <f>'24MS_Data'!R34-MTOM_Data!R34</f>
        <v>0</v>
      </c>
      <c r="S34" s="11">
        <f>'24MS_Data'!S34-MTOM_Data!S34</f>
        <v>0</v>
      </c>
      <c r="T34" s="11">
        <f>'24MS_Data'!T34-MTOM_Data!T34</f>
        <v>0</v>
      </c>
      <c r="U34" s="11">
        <f>'24MS_Data'!U34-MTOM_Data!U34</f>
        <v>0</v>
      </c>
      <c r="V34" s="10">
        <f>'24MS_Data'!V34-MTOM_Data!V34</f>
        <v>0</v>
      </c>
      <c r="W34" s="11">
        <f>'24MS_Data'!W34-MTOM_Data!W34</f>
        <v>0</v>
      </c>
      <c r="X34" s="12">
        <f>'24MS_Data'!X34-MTOM_Data!X34</f>
        <v>0</v>
      </c>
      <c r="Y34" s="11">
        <f>'24MS_Data'!Y34-MTOM_Data!Y34</f>
        <v>0</v>
      </c>
      <c r="Z34" s="11">
        <f>'24MS_Data'!Z34-MTOM_Data!Z34</f>
        <v>0</v>
      </c>
      <c r="AA34" s="11">
        <f>'24MS_Data'!AA34-MTOM_Data!AA34</f>
        <v>0</v>
      </c>
      <c r="AB34" s="11">
        <f>'24MS_Data'!AB34-MTOM_Data!AB34</f>
        <v>0</v>
      </c>
      <c r="AC34" s="11">
        <f>'24MS_Data'!AC34-MTOM_Data!AC34</f>
        <v>0</v>
      </c>
      <c r="AD34" s="10">
        <f>'24MS_Data'!AD34-MTOM_Data!AD34</f>
        <v>0</v>
      </c>
      <c r="AE34" s="11">
        <f>'24MS_Data'!AE34-MTOM_Data!AE34</f>
        <v>0</v>
      </c>
      <c r="AF34" s="11">
        <f>'24MS_Data'!AF34-MTOM_Data!AF34</f>
        <v>0</v>
      </c>
      <c r="AG34" s="11">
        <f>'24MS_Data'!AG34-MTOM_Data!AG34</f>
        <v>0</v>
      </c>
      <c r="AH34" s="11">
        <f>'24MS_Data'!AH34-MTOM_Data!AH34</f>
        <v>0</v>
      </c>
      <c r="AI34" s="11">
        <f>'24MS_Data'!AI34-MTOM_Data!AI34</f>
        <v>0</v>
      </c>
      <c r="AJ34" s="12">
        <f>'24MS_Data'!AJ34-MTOM_Data!AJ34</f>
        <v>0</v>
      </c>
      <c r="AK34" s="11">
        <f>'24MS_Data'!AK34-MTOM_Data!AK34</f>
        <v>0</v>
      </c>
      <c r="AL34" s="11">
        <f>'24MS_Data'!AL34-MTOM_Data!AL34</f>
        <v>0</v>
      </c>
      <c r="AM34" s="11">
        <f>'24MS_Data'!AM34-MTOM_Data!AM34</f>
        <v>0</v>
      </c>
      <c r="AN34" s="10">
        <f>'24MS_Data'!AN34-MTOM_Data!AN34</f>
        <v>0</v>
      </c>
      <c r="AO34" s="11">
        <f>'24MS_Data'!AO34-MTOM_Data!AO34</f>
        <v>0</v>
      </c>
      <c r="AP34" s="12">
        <f>'24MS_Data'!AP34-MTOM_Data!AP34</f>
        <v>0</v>
      </c>
      <c r="AQ34" s="11">
        <f>'24MS_Data'!AQ34-MTOM_Data!AQ34</f>
        <v>0</v>
      </c>
      <c r="AR34" s="11">
        <f>'24MS_Data'!AR34-MTOM_Data!AR34</f>
        <v>0</v>
      </c>
      <c r="AS34" s="11">
        <f>'24MS_Data'!AS34-MTOM_Data!AS34</f>
        <v>0</v>
      </c>
      <c r="AT34" s="13">
        <f>'24MS_Data'!AT34-MTOM_Data!AT34</f>
        <v>0</v>
      </c>
      <c r="AU34" s="11">
        <f>'24MS_Data'!AU34-MTOM_Data!AU34</f>
        <v>0</v>
      </c>
      <c r="AV34" s="13">
        <f>'24MS_Data'!AV34-MTOM_Data!AV34</f>
        <v>0</v>
      </c>
    </row>
    <row r="35" spans="1:48" x14ac:dyDescent="0.25">
      <c r="A35" s="50">
        <f t="shared" si="0"/>
        <v>45138</v>
      </c>
      <c r="B35" s="14">
        <f>'24MS_Data'!B35-MTOM_Data!B35</f>
        <v>0</v>
      </c>
      <c r="C35" s="15">
        <f>'24MS_Data'!C35-MTOM_Data!C35</f>
        <v>0</v>
      </c>
      <c r="D35" s="15">
        <f>'24MS_Data'!D35-MTOM_Data!D35</f>
        <v>0</v>
      </c>
      <c r="E35" s="15">
        <f>'24MS_Data'!E35-MTOM_Data!E35</f>
        <v>0</v>
      </c>
      <c r="F35" s="14">
        <f>'24MS_Data'!F35-MTOM_Data!F35</f>
        <v>0</v>
      </c>
      <c r="G35" s="15">
        <f>'24MS_Data'!G35-MTOM_Data!G35</f>
        <v>0</v>
      </c>
      <c r="H35" s="15">
        <f>'24MS_Data'!H35-MTOM_Data!H35</f>
        <v>0</v>
      </c>
      <c r="I35" s="15">
        <f>'24MS_Data'!I35-MTOM_Data!I35</f>
        <v>0</v>
      </c>
      <c r="J35" s="16">
        <f>'24MS_Data'!J35-MTOM_Data!J35</f>
        <v>0</v>
      </c>
      <c r="K35" s="15">
        <f>'24MS_Data'!K35-MTOM_Data!K35</f>
        <v>0</v>
      </c>
      <c r="L35" s="15">
        <f>'24MS_Data'!L35-MTOM_Data!L35</f>
        <v>0</v>
      </c>
      <c r="M35" s="15">
        <f>'24MS_Data'!M35-MTOM_Data!M35</f>
        <v>0</v>
      </c>
      <c r="N35" s="14">
        <f>'24MS_Data'!N35-MTOM_Data!N35</f>
        <v>0</v>
      </c>
      <c r="O35" s="15">
        <f>'24MS_Data'!O35-MTOM_Data!O35</f>
        <v>0</v>
      </c>
      <c r="P35" s="15">
        <f>'24MS_Data'!P35-MTOM_Data!P35</f>
        <v>0</v>
      </c>
      <c r="Q35" s="15">
        <f>'24MS_Data'!Q35-MTOM_Data!Q35</f>
        <v>0</v>
      </c>
      <c r="R35" s="16">
        <f>'24MS_Data'!R35-MTOM_Data!R35</f>
        <v>0</v>
      </c>
      <c r="S35" s="15">
        <f>'24MS_Data'!S35-MTOM_Data!S35</f>
        <v>0</v>
      </c>
      <c r="T35" s="15">
        <f>'24MS_Data'!T35-MTOM_Data!T35</f>
        <v>0</v>
      </c>
      <c r="U35" s="15">
        <f>'24MS_Data'!U35-MTOM_Data!U35</f>
        <v>0</v>
      </c>
      <c r="V35" s="14">
        <f>'24MS_Data'!V35-MTOM_Data!V35</f>
        <v>0</v>
      </c>
      <c r="W35" s="15">
        <f>'24MS_Data'!W35-MTOM_Data!W35</f>
        <v>0</v>
      </c>
      <c r="X35" s="16">
        <f>'24MS_Data'!X35-MTOM_Data!X35</f>
        <v>0</v>
      </c>
      <c r="Y35" s="15">
        <f>'24MS_Data'!Y35-MTOM_Data!Y35</f>
        <v>0</v>
      </c>
      <c r="Z35" s="15">
        <f>'24MS_Data'!Z35-MTOM_Data!Z35</f>
        <v>0</v>
      </c>
      <c r="AA35" s="15">
        <f>'24MS_Data'!AA35-MTOM_Data!AA35</f>
        <v>0</v>
      </c>
      <c r="AB35" s="15">
        <f>'24MS_Data'!AB35-MTOM_Data!AB35</f>
        <v>0</v>
      </c>
      <c r="AC35" s="15">
        <f>'24MS_Data'!AC35-MTOM_Data!AC35</f>
        <v>0</v>
      </c>
      <c r="AD35" s="14">
        <f>'24MS_Data'!AD35-MTOM_Data!AD35</f>
        <v>0</v>
      </c>
      <c r="AE35" s="15">
        <f>'24MS_Data'!AE35-MTOM_Data!AE35</f>
        <v>0</v>
      </c>
      <c r="AF35" s="15">
        <f>'24MS_Data'!AF35-MTOM_Data!AF35</f>
        <v>0</v>
      </c>
      <c r="AG35" s="15">
        <f>'24MS_Data'!AG35-MTOM_Data!AG35</f>
        <v>0</v>
      </c>
      <c r="AH35" s="15">
        <f>'24MS_Data'!AH35-MTOM_Data!AH35</f>
        <v>0</v>
      </c>
      <c r="AI35" s="15">
        <f>'24MS_Data'!AI35-MTOM_Data!AI35</f>
        <v>0</v>
      </c>
      <c r="AJ35" s="16">
        <f>'24MS_Data'!AJ35-MTOM_Data!AJ35</f>
        <v>0</v>
      </c>
      <c r="AK35" s="15">
        <f>'24MS_Data'!AK35-MTOM_Data!AK35</f>
        <v>0</v>
      </c>
      <c r="AL35" s="15">
        <f>'24MS_Data'!AL35-MTOM_Data!AL35</f>
        <v>0</v>
      </c>
      <c r="AM35" s="15">
        <f>'24MS_Data'!AM35-MTOM_Data!AM35</f>
        <v>0</v>
      </c>
      <c r="AN35" s="14">
        <f>'24MS_Data'!AN35-MTOM_Data!AN35</f>
        <v>0</v>
      </c>
      <c r="AO35" s="15">
        <f>'24MS_Data'!AO35-MTOM_Data!AO35</f>
        <v>0</v>
      </c>
      <c r="AP35" s="16">
        <f>'24MS_Data'!AP35-MTOM_Data!AP35</f>
        <v>0</v>
      </c>
      <c r="AQ35" s="15">
        <f>'24MS_Data'!AQ35-MTOM_Data!AQ35</f>
        <v>0</v>
      </c>
      <c r="AR35" s="15">
        <f>'24MS_Data'!AR35-MTOM_Data!AR35</f>
        <v>0</v>
      </c>
      <c r="AS35" s="15">
        <f>'24MS_Data'!AS35-MTOM_Data!AS35</f>
        <v>0</v>
      </c>
      <c r="AT35" s="17">
        <f>'24MS_Data'!AT35-MTOM_Data!AT35</f>
        <v>0</v>
      </c>
      <c r="AU35" s="15">
        <f>'24MS_Data'!AU35-MTOM_Data!AU35</f>
        <v>0</v>
      </c>
      <c r="AV35" s="17">
        <f>'24MS_Data'!AV35-MTOM_Data!AV35</f>
        <v>0</v>
      </c>
    </row>
  </sheetData>
  <mergeCells count="13">
    <mergeCell ref="B1:Y1"/>
    <mergeCell ref="AB1:AV1"/>
    <mergeCell ref="Y2:AC2"/>
    <mergeCell ref="AD2:AJ2"/>
    <mergeCell ref="AK2:AM2"/>
    <mergeCell ref="AN2:AP2"/>
    <mergeCell ref="AQ2:AS2"/>
    <mergeCell ref="V2:X2"/>
    <mergeCell ref="B2:E2"/>
    <mergeCell ref="F2:J2"/>
    <mergeCell ref="K2:M2"/>
    <mergeCell ref="N2:R2"/>
    <mergeCell ref="S2:U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V40"/>
  <sheetViews>
    <sheetView tabSelected="1" zoomScaleNormal="100" workbookViewId="0">
      <selection activeCell="D5" sqref="D5:D16"/>
    </sheetView>
  </sheetViews>
  <sheetFormatPr defaultRowHeight="15" x14ac:dyDescent="0.25"/>
  <cols>
    <col min="1" max="1" width="10.7109375" bestFit="1" customWidth="1"/>
    <col min="2" max="2" width="15.140625" customWidth="1"/>
    <col min="3" max="3" width="13.28515625" customWidth="1"/>
    <col min="4" max="4" width="13" customWidth="1"/>
    <col min="5" max="5" width="5" customWidth="1"/>
  </cols>
  <sheetData>
    <row r="1" spans="1:2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2" ht="19.5" customHeight="1" x14ac:dyDescent="0.3">
      <c r="A2" s="129" t="str">
        <f ca="1">LOOKUP($A$36,SlotID,SlotName)</f>
        <v>Powell.Outflow</v>
      </c>
      <c r="B2" s="129"/>
      <c r="C2" s="129"/>
      <c r="D2" s="12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2" x14ac:dyDescent="0.25">
      <c r="A3" s="57"/>
      <c r="B3" s="18" t="s">
        <v>37</v>
      </c>
      <c r="C3" s="25" t="s">
        <v>100</v>
      </c>
      <c r="D3" s="34" t="s">
        <v>38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14.45" customHeight="1" x14ac:dyDescent="0.25">
      <c r="A4" s="55">
        <f>Compare_Data!A4</f>
        <v>44196</v>
      </c>
      <c r="B4" s="58">
        <f t="shared" ref="B4:B35" ca="1" si="0">IF(A4&gt;$D$38,"",LOOKUP($A4,TFTime,INDIRECT(A$38)))</f>
        <v>720.00000000000307</v>
      </c>
      <c r="C4" s="54">
        <f ca="1">IF(A4&gt;$D$38,"",LOOKUP($A4,TFTime,INDIRECT(B$38)))</f>
        <v>719.9999999998256</v>
      </c>
      <c r="D4" s="59">
        <f t="shared" ref="D4:D35" ca="1" si="1">IF(A4&gt;$D$38,"",LOOKUP($A4,TFTime,INDIRECT(C$38)))</f>
        <v>1.7746515368344262E-10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2" ht="14.45" customHeight="1" x14ac:dyDescent="0.25">
      <c r="A5" s="55">
        <f>Compare_Data!A5</f>
        <v>44227</v>
      </c>
      <c r="B5" s="58">
        <f t="shared" ca="1" si="0"/>
        <v>760.00000000000284</v>
      </c>
      <c r="C5" s="54">
        <f t="shared" ref="C5:C35" ca="1" si="2">IF(A5&gt;$D$38,"",LOOKUP($A5,TFTime,INDIRECT(B$38)))</f>
        <v>759.99999999990598</v>
      </c>
      <c r="D5" s="59">
        <f t="shared" ca="1" si="1"/>
        <v>9.6861185738816857E-11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2" ht="14.45" customHeight="1" x14ac:dyDescent="0.25">
      <c r="A6" s="55">
        <f>Compare_Data!A6</f>
        <v>44255</v>
      </c>
      <c r="B6" s="58">
        <f t="shared" ca="1" si="0"/>
        <v>679.99999999999829</v>
      </c>
      <c r="C6" s="54">
        <f t="shared" ca="1" si="2"/>
        <v>679.99999999974511</v>
      </c>
      <c r="D6" s="59">
        <f t="shared" ca="1" si="1"/>
        <v>2.531805876060389E-10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2" ht="14.45" customHeight="1" x14ac:dyDescent="0.25">
      <c r="A7" s="55">
        <f>Compare_Data!A7</f>
        <v>44286</v>
      </c>
      <c r="B7" s="58">
        <f t="shared" ca="1" si="0"/>
        <v>710.00000000000011</v>
      </c>
      <c r="C7" s="54">
        <f t="shared" ca="1" si="2"/>
        <v>710.00000000021078</v>
      </c>
      <c r="D7" s="59">
        <f t="shared" ca="1" si="1"/>
        <v>-2.106617102981545E-10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2" ht="14.45" customHeight="1" x14ac:dyDescent="0.25">
      <c r="A8" s="55">
        <f>Compare_Data!A8</f>
        <v>44316</v>
      </c>
      <c r="B8" s="58">
        <f t="shared" ca="1" si="0"/>
        <v>640.00000000000193</v>
      </c>
      <c r="C8" s="54">
        <f t="shared" ca="1" si="2"/>
        <v>639.99999999966485</v>
      </c>
      <c r="D8" s="59">
        <f t="shared" ca="1" si="1"/>
        <v>3.3708147384459153E-10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65"/>
    </row>
    <row r="9" spans="1:22" ht="14.45" customHeight="1" x14ac:dyDescent="0.25">
      <c r="A9" s="55">
        <f>Compare_Data!A9</f>
        <v>44347</v>
      </c>
      <c r="B9" s="58">
        <f t="shared" ca="1" si="0"/>
        <v>630.00000000000034</v>
      </c>
      <c r="C9" s="54">
        <f t="shared" ca="1" si="2"/>
        <v>629.64473719114153</v>
      </c>
      <c r="D9" s="59">
        <f t="shared" ca="1" si="1"/>
        <v>0.35526280885881079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65"/>
    </row>
    <row r="10" spans="1:22" ht="14.45" customHeight="1" x14ac:dyDescent="0.25">
      <c r="A10" s="55">
        <f>Compare_Data!A10</f>
        <v>44377</v>
      </c>
      <c r="B10" s="58">
        <f t="shared" ca="1" si="0"/>
        <v>660.00000000000125</v>
      </c>
      <c r="C10" s="54">
        <f t="shared" ca="1" si="2"/>
        <v>659.9999999997051</v>
      </c>
      <c r="D10" s="59">
        <f t="shared" ca="1" si="1"/>
        <v>2.9615421226480976E-10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65"/>
    </row>
    <row r="11" spans="1:22" ht="14.45" customHeight="1" x14ac:dyDescent="0.25">
      <c r="A11" s="55">
        <f>Compare_Data!A11</f>
        <v>44408</v>
      </c>
      <c r="B11" s="58">
        <f t="shared" ca="1" si="0"/>
        <v>749.99999999999989</v>
      </c>
      <c r="C11" s="54">
        <f t="shared" ca="1" si="2"/>
        <v>750.00000000029127</v>
      </c>
      <c r="D11" s="59">
        <f t="shared" ca="1" si="1"/>
        <v>-2.9137936508050188E-10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65"/>
    </row>
    <row r="12" spans="1:22" ht="14.45" customHeight="1" x14ac:dyDescent="0.25">
      <c r="A12" s="55">
        <f>Compare_Data!A12</f>
        <v>44439</v>
      </c>
      <c r="B12" s="58">
        <f t="shared" ca="1" si="0"/>
        <v>800.00000000000273</v>
      </c>
      <c r="C12" s="54">
        <f t="shared" ca="1" si="2"/>
        <v>799.99999999998624</v>
      </c>
      <c r="D12" s="59">
        <f t="shared" ca="1" si="1"/>
        <v>1.6484591469634324E-11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65"/>
    </row>
    <row r="13" spans="1:22" ht="14.45" customHeight="1" x14ac:dyDescent="0.25">
      <c r="A13" s="55">
        <f>Compare_Data!A13</f>
        <v>44469</v>
      </c>
      <c r="B13" s="58">
        <f t="shared" ca="1" si="0"/>
        <v>599.64499999999873</v>
      </c>
      <c r="C13" s="54">
        <f t="shared" ca="1" si="2"/>
        <v>600.00000000039506</v>
      </c>
      <c r="D13" s="59">
        <f t="shared" ca="1" si="1"/>
        <v>-0.35500000039633051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65"/>
    </row>
    <row r="14" spans="1:22" ht="14.45" customHeight="1" x14ac:dyDescent="0.25">
      <c r="A14" s="55">
        <f>Compare_Data!A14</f>
        <v>44500</v>
      </c>
      <c r="B14" s="58">
        <f t="shared" ca="1" si="0"/>
        <v>479.99999999999972</v>
      </c>
      <c r="C14" s="54">
        <f t="shared" ca="1" si="2"/>
        <v>480.00000000015393</v>
      </c>
      <c r="D14" s="59">
        <f t="shared" ca="1" si="1"/>
        <v>-1.5421619536937214E-10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65"/>
    </row>
    <row r="15" spans="1:22" ht="14.45" customHeight="1" x14ac:dyDescent="0.25">
      <c r="A15" s="55">
        <f>Compare_Data!A15</f>
        <v>44530</v>
      </c>
      <c r="B15" s="58">
        <f t="shared" ca="1" si="0"/>
        <v>500.00000000000017</v>
      </c>
      <c r="C15" s="54">
        <f t="shared" ca="1" si="2"/>
        <v>500.00000000019423</v>
      </c>
      <c r="D15" s="59">
        <f t="shared" ca="1" si="1"/>
        <v>-1.9406343199079856E-10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65"/>
    </row>
    <row r="16" spans="1:22" ht="14.45" customHeight="1" x14ac:dyDescent="0.25">
      <c r="A16" s="55">
        <f>Compare_Data!A16</f>
        <v>44561</v>
      </c>
      <c r="B16" s="58">
        <f t="shared" ca="1" si="0"/>
        <v>599.99999999999989</v>
      </c>
      <c r="C16" s="54">
        <f t="shared" ca="1" si="2"/>
        <v>600.00000000039506</v>
      </c>
      <c r="D16" s="59">
        <f t="shared" ca="1" si="1"/>
        <v>-3.9517544792033732E-10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65"/>
    </row>
    <row r="17" spans="1:22" ht="14.45" customHeight="1" x14ac:dyDescent="0.25">
      <c r="A17" s="55">
        <f>Compare_Data!A17</f>
        <v>44592</v>
      </c>
      <c r="B17" s="58">
        <f t="shared" ca="1" si="0"/>
        <v>720.00000000000307</v>
      </c>
      <c r="C17" s="54">
        <f t="shared" ca="1" si="2"/>
        <v>719.9999999998256</v>
      </c>
      <c r="D17" s="59">
        <f t="shared" ca="1" si="1"/>
        <v>1.7746515368344262E-10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65"/>
    </row>
    <row r="18" spans="1:22" ht="14.45" customHeight="1" x14ac:dyDescent="0.25">
      <c r="A18" s="55">
        <f>Compare_Data!A18</f>
        <v>44620</v>
      </c>
      <c r="B18" s="58">
        <f t="shared" ca="1" si="0"/>
        <v>639.99999999999807</v>
      </c>
      <c r="C18" s="54">
        <f t="shared" ca="1" si="2"/>
        <v>639.99999999966474</v>
      </c>
      <c r="D18" s="59">
        <f t="shared" ca="1" si="1"/>
        <v>3.333298081997782E-10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65"/>
    </row>
    <row r="19" spans="1:22" ht="14.45" customHeight="1" x14ac:dyDescent="0.25">
      <c r="A19" s="55">
        <f>Compare_Data!A19</f>
        <v>44651</v>
      </c>
      <c r="B19" s="58">
        <f t="shared" ca="1" si="0"/>
        <v>675.00000000000159</v>
      </c>
      <c r="C19" s="54">
        <f t="shared" ca="1" si="2"/>
        <v>675.00000000034333</v>
      </c>
      <c r="D19" s="59">
        <f t="shared" ca="1" si="1"/>
        <v>-3.4174263419117779E-10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65"/>
    </row>
    <row r="20" spans="1:22" ht="14.45" customHeight="1" x14ac:dyDescent="0.25">
      <c r="A20" s="55">
        <f>Compare_Data!A20</f>
        <v>44681</v>
      </c>
      <c r="B20" s="58">
        <f t="shared" ca="1" si="0"/>
        <v>599.99999999999727</v>
      </c>
      <c r="C20" s="54">
        <f t="shared" ca="1" si="2"/>
        <v>600.00000000039506</v>
      </c>
      <c r="D20" s="59">
        <f t="shared" ca="1" si="1"/>
        <v>-3.9779024518793449E-10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65"/>
    </row>
    <row r="21" spans="1:22" ht="14.45" customHeight="1" x14ac:dyDescent="0.25">
      <c r="A21" s="55">
        <f>Compare_Data!A21</f>
        <v>44712</v>
      </c>
      <c r="B21" s="58">
        <f t="shared" ca="1" si="0"/>
        <v>599.99999999999989</v>
      </c>
      <c r="C21" s="54">
        <f t="shared" ca="1" si="2"/>
        <v>600.00000000039506</v>
      </c>
      <c r="D21" s="59">
        <f t="shared" ca="1" si="1"/>
        <v>-3.9517544792033732E-10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65"/>
    </row>
    <row r="22" spans="1:22" ht="14.45" customHeight="1" x14ac:dyDescent="0.25">
      <c r="A22" s="55">
        <f>Compare_Data!A22</f>
        <v>44742</v>
      </c>
      <c r="B22" s="58">
        <f t="shared" ca="1" si="0"/>
        <v>629.99999999999932</v>
      </c>
      <c r="C22" s="54">
        <f t="shared" ca="1" si="2"/>
        <v>630.00000000005002</v>
      </c>
      <c r="D22" s="59">
        <f t="shared" ca="1" si="1"/>
        <v>-5.0704329623840749E-11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65"/>
    </row>
    <row r="23" spans="1:22" ht="14.45" customHeight="1" x14ac:dyDescent="0.25">
      <c r="A23" s="55">
        <f>Compare_Data!A23</f>
        <v>44773</v>
      </c>
      <c r="B23" s="58">
        <f t="shared" ca="1" si="0"/>
        <v>710.00000000000011</v>
      </c>
      <c r="C23" s="54">
        <f t="shared" ca="1" si="2"/>
        <v>710.00000000021078</v>
      </c>
      <c r="D23" s="59">
        <f t="shared" ca="1" si="1"/>
        <v>-2.106617102981545E-10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65"/>
    </row>
    <row r="24" spans="1:22" x14ac:dyDescent="0.25">
      <c r="A24" s="55">
        <f>Compare_Data!A24</f>
        <v>44804</v>
      </c>
      <c r="B24" s="58">
        <f t="shared" ca="1" si="0"/>
        <v>760.00000000000284</v>
      </c>
      <c r="C24" s="54">
        <f t="shared" ca="1" si="2"/>
        <v>759.99999999990598</v>
      </c>
      <c r="D24" s="59">
        <f t="shared" ca="1" si="1"/>
        <v>9.6861185738816857E-11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65"/>
    </row>
    <row r="25" spans="1:22" x14ac:dyDescent="0.25">
      <c r="A25" s="55">
        <f>Compare_Data!A25</f>
        <v>44834</v>
      </c>
      <c r="B25" s="58">
        <f t="shared" ca="1" si="0"/>
        <v>565.00000000000011</v>
      </c>
      <c r="C25" s="54">
        <f t="shared" ca="1" si="2"/>
        <v>564.99999999846113</v>
      </c>
      <c r="D25" s="59">
        <f t="shared" ca="1" si="1"/>
        <v>1.5389787222375162E-9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65"/>
    </row>
    <row r="26" spans="1:22" x14ac:dyDescent="0.25">
      <c r="A26" s="55">
        <f>Compare_Data!A26</f>
        <v>44865</v>
      </c>
      <c r="B26" s="58">
        <f t="shared" ca="1" si="0"/>
        <v>639.99999999999716</v>
      </c>
      <c r="C26" s="54">
        <f t="shared" ca="1" si="2"/>
        <v>639.99999999966485</v>
      </c>
      <c r="D26" s="59">
        <f t="shared" ca="1" si="1"/>
        <v>3.3230662666028365E-10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65"/>
    </row>
    <row r="27" spans="1:22" x14ac:dyDescent="0.25">
      <c r="A27" s="55">
        <f>Compare_Data!A27</f>
        <v>44895</v>
      </c>
      <c r="B27" s="58">
        <f t="shared" ca="1" si="0"/>
        <v>640.00000000000193</v>
      </c>
      <c r="C27" s="54">
        <f t="shared" ca="1" si="2"/>
        <v>639.99999999966485</v>
      </c>
      <c r="D27" s="59">
        <f t="shared" ca="1" si="1"/>
        <v>3.3708147384459153E-10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65"/>
    </row>
    <row r="28" spans="1:22" x14ac:dyDescent="0.25">
      <c r="A28" s="55">
        <f>Compare_Data!A28</f>
        <v>44926</v>
      </c>
      <c r="B28" s="58" t="str">
        <f t="shared" ca="1" si="0"/>
        <v/>
      </c>
      <c r="C28" s="54" t="str">
        <f t="shared" ca="1" si="2"/>
        <v/>
      </c>
      <c r="D28" s="59" t="str">
        <f t="shared" ca="1" si="1"/>
        <v/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65"/>
    </row>
    <row r="29" spans="1:22" x14ac:dyDescent="0.25">
      <c r="A29" s="55">
        <f>Compare_Data!A29</f>
        <v>44957</v>
      </c>
      <c r="B29" s="58" t="str">
        <f t="shared" ca="1" si="0"/>
        <v/>
      </c>
      <c r="C29" s="54" t="str">
        <f t="shared" ca="1" si="2"/>
        <v/>
      </c>
      <c r="D29" s="59" t="str">
        <f t="shared" ca="1" si="1"/>
        <v/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65"/>
    </row>
    <row r="30" spans="1:22" x14ac:dyDescent="0.25">
      <c r="A30" s="55">
        <f>Compare_Data!A30</f>
        <v>44985</v>
      </c>
      <c r="B30" s="58" t="str">
        <f t="shared" ca="1" si="0"/>
        <v/>
      </c>
      <c r="C30" s="54" t="str">
        <f t="shared" ca="1" si="2"/>
        <v/>
      </c>
      <c r="D30" s="59" t="str">
        <f t="shared" ca="1" si="1"/>
        <v/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65"/>
    </row>
    <row r="31" spans="1:22" x14ac:dyDescent="0.25">
      <c r="A31" s="55">
        <f>Compare_Data!A31</f>
        <v>45016</v>
      </c>
      <c r="B31" s="58" t="str">
        <f t="shared" ca="1" si="0"/>
        <v/>
      </c>
      <c r="C31" s="54" t="str">
        <f t="shared" ca="1" si="2"/>
        <v/>
      </c>
      <c r="D31" s="59" t="str">
        <f t="shared" ca="1" si="1"/>
        <v/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65"/>
    </row>
    <row r="32" spans="1:22" x14ac:dyDescent="0.25">
      <c r="A32" s="55">
        <f>Compare_Data!A32</f>
        <v>45046</v>
      </c>
      <c r="B32" s="58" t="str">
        <f t="shared" ca="1" si="0"/>
        <v/>
      </c>
      <c r="C32" s="54" t="str">
        <f t="shared" ca="1" si="2"/>
        <v/>
      </c>
      <c r="D32" s="59" t="str">
        <f t="shared" ca="1" si="1"/>
        <v/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65"/>
    </row>
    <row r="33" spans="1:22" x14ac:dyDescent="0.25">
      <c r="A33" s="55">
        <f>Compare_Data!A33</f>
        <v>45077</v>
      </c>
      <c r="B33" s="58" t="str">
        <f t="shared" ca="1" si="0"/>
        <v/>
      </c>
      <c r="C33" s="54" t="str">
        <f t="shared" ca="1" si="2"/>
        <v/>
      </c>
      <c r="D33" s="59" t="str">
        <f t="shared" ca="1" si="1"/>
        <v/>
      </c>
      <c r="E33" s="1"/>
      <c r="F33" s="1"/>
      <c r="G33" s="66"/>
      <c r="H33" s="66"/>
      <c r="I33" s="66"/>
      <c r="J33" s="66"/>
      <c r="K33" s="66"/>
      <c r="L33" s="66"/>
      <c r="M33" s="1"/>
      <c r="N33" s="1"/>
      <c r="O33" s="1"/>
      <c r="P33" s="1"/>
      <c r="Q33" s="1"/>
      <c r="R33" s="1"/>
      <c r="S33" s="1"/>
      <c r="T33" s="1"/>
      <c r="U33" s="1"/>
      <c r="V33" s="65"/>
    </row>
    <row r="34" spans="1:22" x14ac:dyDescent="0.25">
      <c r="A34" s="55">
        <f>Compare_Data!A34</f>
        <v>45107</v>
      </c>
      <c r="B34" s="58" t="str">
        <f t="shared" ca="1" si="0"/>
        <v/>
      </c>
      <c r="C34" s="54" t="str">
        <f t="shared" ca="1" si="2"/>
        <v/>
      </c>
      <c r="D34" s="59" t="str">
        <f t="shared" ca="1" si="1"/>
        <v/>
      </c>
      <c r="E34" s="1"/>
      <c r="F34" s="1"/>
      <c r="G34" s="69"/>
      <c r="H34" s="69" t="s">
        <v>60</v>
      </c>
      <c r="I34" s="69" t="s">
        <v>61</v>
      </c>
      <c r="J34" s="69"/>
      <c r="K34" s="66"/>
      <c r="L34" s="66"/>
      <c r="M34" s="1"/>
      <c r="N34" s="1"/>
      <c r="O34" s="1"/>
      <c r="P34" s="1"/>
      <c r="Q34" s="1"/>
      <c r="R34" s="1"/>
      <c r="S34" s="1"/>
      <c r="T34" s="1"/>
      <c r="U34" s="1"/>
      <c r="V34" s="65"/>
    </row>
    <row r="35" spans="1:22" x14ac:dyDescent="0.25">
      <c r="A35" s="56">
        <f>Compare_Data!A35</f>
        <v>45138</v>
      </c>
      <c r="B35" s="58" t="str">
        <f t="shared" ca="1" si="0"/>
        <v/>
      </c>
      <c r="C35" s="54" t="str">
        <f t="shared" ca="1" si="2"/>
        <v/>
      </c>
      <c r="D35" s="59" t="str">
        <f t="shared" ca="1" si="1"/>
        <v/>
      </c>
      <c r="E35" s="1"/>
      <c r="F35" s="1"/>
      <c r="G35" s="69" t="s">
        <v>57</v>
      </c>
      <c r="H35" s="69">
        <f ca="1">IF(I35="",ROUND(0.1*(MAX(B4:C27)-1.5*(MAX(B4:C27)-MIN(B4:C27))),0)*10,I35)</f>
        <v>320</v>
      </c>
      <c r="I35" s="69"/>
      <c r="J35" s="69"/>
      <c r="K35" s="66"/>
      <c r="L35" s="66"/>
      <c r="M35" s="1"/>
      <c r="N35" s="1"/>
      <c r="O35" s="1"/>
      <c r="P35" s="1"/>
      <c r="Q35" s="1"/>
      <c r="R35" s="1"/>
      <c r="S35" s="1"/>
      <c r="T35" s="1"/>
      <c r="U35" s="1"/>
      <c r="V35" s="65"/>
    </row>
    <row r="36" spans="1:22" x14ac:dyDescent="0.25">
      <c r="A36" s="35">
        <v>34</v>
      </c>
      <c r="B36" s="35"/>
      <c r="C36" s="35"/>
      <c r="D36" s="1"/>
      <c r="E36" s="1"/>
      <c r="F36" s="1"/>
      <c r="G36" s="69" t="s">
        <v>58</v>
      </c>
      <c r="H36" s="69">
        <f ca="1">IF(I36="",IF(MIN(D4:D27)&gt;=0,0,IF(MIN(D4:D27)&lt;-10,ROUND((MIN(D4:D27)-5)*0.1,0)*10,ROUND((MIN(D4:D27)-2.5)*0.2,0)*5)),I36)</f>
        <v>-5</v>
      </c>
      <c r="I36" s="69"/>
      <c r="J36" s="69"/>
      <c r="K36" s="66"/>
      <c r="L36" s="66"/>
      <c r="M36" s="1"/>
      <c r="N36" s="1"/>
      <c r="O36" s="1"/>
      <c r="P36" s="1"/>
      <c r="Q36" s="1"/>
      <c r="R36" s="1"/>
      <c r="S36" s="1"/>
      <c r="T36" s="1"/>
      <c r="U36" s="1"/>
    </row>
    <row r="37" spans="1:22" x14ac:dyDescent="0.25">
      <c r="A37" s="35" t="str">
        <f ca="1">LOOKUP($A$36,SlotID,RangeName)</f>
        <v>Pow_Out</v>
      </c>
      <c r="B37" s="35"/>
      <c r="C37" s="35"/>
      <c r="D37" s="1">
        <f>LOOKUP(RunInformation!$C$6,RunInformation!$I$4:$I$13,RunInformation!$J$4:$J$13)</f>
        <v>24</v>
      </c>
      <c r="E37" s="1"/>
      <c r="F37" s="1"/>
      <c r="G37" s="69" t="s">
        <v>59</v>
      </c>
      <c r="H37" s="69">
        <f ca="1">IF(I37="",ROUNDUP(MAX(D4:D27)+5*(MAX(D4:D27)-MIN(D4:D27)),0),I37)</f>
        <v>4</v>
      </c>
      <c r="I37" s="69"/>
      <c r="J37" s="69"/>
      <c r="K37" s="66"/>
      <c r="L37" s="66"/>
      <c r="M37" s="1"/>
      <c r="N37" s="1"/>
      <c r="O37" s="1"/>
      <c r="P37" s="1"/>
      <c r="Q37" s="1"/>
      <c r="R37" s="1"/>
      <c r="S37" s="1"/>
      <c r="T37" s="1"/>
      <c r="U37" s="1"/>
    </row>
    <row r="38" spans="1:22" x14ac:dyDescent="0.25">
      <c r="A38" s="35" t="str">
        <f ca="1">"TFMS_" &amp; A37</f>
        <v>TFMS_Pow_Out</v>
      </c>
      <c r="B38" s="35" t="str">
        <f ca="1">"MTPO_" &amp; A37</f>
        <v>MTPO_Pow_Out</v>
      </c>
      <c r="C38" s="35" t="str">
        <f ca="1">"Diff_" &amp; A37</f>
        <v>Diff_Pow_Out</v>
      </c>
      <c r="D38" s="63">
        <f>INDEX(A4:A35,$D$37,1)</f>
        <v>44895</v>
      </c>
      <c r="E38" s="1"/>
      <c r="F38" s="1"/>
      <c r="G38" s="66"/>
      <c r="H38" s="66"/>
      <c r="I38" s="66"/>
      <c r="J38" s="66"/>
      <c r="K38" s="66"/>
      <c r="L38" s="66"/>
      <c r="M38" s="1"/>
      <c r="N38" s="1"/>
      <c r="O38" s="1"/>
      <c r="P38" s="1"/>
      <c r="Q38" s="1"/>
      <c r="R38" s="1"/>
      <c r="S38" s="1"/>
      <c r="T38" s="1"/>
      <c r="U38" s="1"/>
    </row>
    <row r="39" spans="1:22" x14ac:dyDescent="0.25">
      <c r="D39" s="64"/>
      <c r="G39" s="67"/>
      <c r="H39" s="68"/>
      <c r="I39" s="67"/>
      <c r="J39" s="67"/>
      <c r="K39" s="67"/>
      <c r="L39" s="67"/>
    </row>
    <row r="40" spans="1:22" x14ac:dyDescent="0.25">
      <c r="G40" s="67"/>
      <c r="H40" s="67"/>
      <c r="I40" s="67"/>
      <c r="J40" s="67"/>
      <c r="K40" s="67"/>
      <c r="L40" s="67"/>
    </row>
  </sheetData>
  <mergeCells count="1">
    <mergeCell ref="A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0]!setToAuto">
                <anchor moveWithCells="1">
                  <from>
                    <xdr:col>5</xdr:col>
                    <xdr:colOff>133350</xdr:colOff>
                    <xdr:row>1</xdr:row>
                    <xdr:rowOff>123825</xdr:rowOff>
                  </from>
                  <to>
                    <xdr:col>8</xdr:col>
                    <xdr:colOff>171450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ffToSecondAxis">
                <anchor moveWithCells="1" sizeWithCells="1">
                  <from>
                    <xdr:col>17</xdr:col>
                    <xdr:colOff>352425</xdr:colOff>
                    <xdr:row>2</xdr:row>
                    <xdr:rowOff>19050</xdr:rowOff>
                  </from>
                  <to>
                    <xdr:col>19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148</vt:i4>
      </vt:variant>
    </vt:vector>
  </HeadingPairs>
  <TitlesOfParts>
    <vt:vector size="153" baseType="lpstr">
      <vt:lpstr>RunInformation</vt:lpstr>
      <vt:lpstr>24MS_Data</vt:lpstr>
      <vt:lpstr>MTOM_Data</vt:lpstr>
      <vt:lpstr>Compare_Data</vt:lpstr>
      <vt:lpstr>Compare_Plots</vt:lpstr>
      <vt:lpstr>Diff_BM_Elev</vt:lpstr>
      <vt:lpstr>Diff_BM_In</vt:lpstr>
      <vt:lpstr>Diff_BM_Out</vt:lpstr>
      <vt:lpstr>Diff_BM_Spill</vt:lpstr>
      <vt:lpstr>Diff_BMIn_Unreg</vt:lpstr>
      <vt:lpstr>Diff_CAP_DivReq</vt:lpstr>
      <vt:lpstr>Diff_Cry_Elev</vt:lpstr>
      <vt:lpstr>Diff_Cry_Out</vt:lpstr>
      <vt:lpstr>Diff_Cry_Spill</vt:lpstr>
      <vt:lpstr>Diff_FG_Elev</vt:lpstr>
      <vt:lpstr>Diff_FG_In</vt:lpstr>
      <vt:lpstr>Diff_FG_Out</vt:lpstr>
      <vt:lpstr>Diff_FG_Spill</vt:lpstr>
      <vt:lpstr>Diff_FGIn_Unreg</vt:lpstr>
      <vt:lpstr>Diff_Font_Elev</vt:lpstr>
      <vt:lpstr>Diff_Font_In</vt:lpstr>
      <vt:lpstr>Diff_Font_Out</vt:lpstr>
      <vt:lpstr>Diff_Font_Spill</vt:lpstr>
      <vt:lpstr>Diff_Hav_Egy</vt:lpstr>
      <vt:lpstr>Diff_Hav_Elev</vt:lpstr>
      <vt:lpstr>Diff_Hav_Out</vt:lpstr>
      <vt:lpstr>Diff_Md_Egy</vt:lpstr>
      <vt:lpstr>Diff_Md_Elev</vt:lpstr>
      <vt:lpstr>Diff_Md_Out</vt:lpstr>
      <vt:lpstr>Diff_Mo_Egy</vt:lpstr>
      <vt:lpstr>Diff_Mo_Elev</vt:lpstr>
      <vt:lpstr>Diff_Mo_Out</vt:lpstr>
      <vt:lpstr>Diff_MWD_DivReq</vt:lpstr>
      <vt:lpstr>Diff_Nav_Elev</vt:lpstr>
      <vt:lpstr>Diff_Nav_In</vt:lpstr>
      <vt:lpstr>Diff_Nav_Out</vt:lpstr>
      <vt:lpstr>Diff_Nav_Spill</vt:lpstr>
      <vt:lpstr>Diff_NavIn_Unreg</vt:lpstr>
      <vt:lpstr>Diff_Pow_Elev</vt:lpstr>
      <vt:lpstr>Diff_Pow_Evap</vt:lpstr>
      <vt:lpstr>Diff_Pow_In</vt:lpstr>
      <vt:lpstr>Diff_Pow_Out</vt:lpstr>
      <vt:lpstr>Diff_Pow_Spill</vt:lpstr>
      <vt:lpstr>Diff_Pow_Storage</vt:lpstr>
      <vt:lpstr>Diff_PowIn_Unreg</vt:lpstr>
      <vt:lpstr>Diff_SNWP_DivReq</vt:lpstr>
      <vt:lpstr>Diff_Time</vt:lpstr>
      <vt:lpstr>Diff_TP_Elev</vt:lpstr>
      <vt:lpstr>Diff_TP_In</vt:lpstr>
      <vt:lpstr>Diff_TP_Out</vt:lpstr>
      <vt:lpstr>Diff_Val_Elev</vt:lpstr>
      <vt:lpstr>Diff_Val_In</vt:lpstr>
      <vt:lpstr>Diff_Val_Out</vt:lpstr>
      <vt:lpstr>Elevation</vt:lpstr>
      <vt:lpstr>MOMTime</vt:lpstr>
      <vt:lpstr>MTPO_BM_Elev</vt:lpstr>
      <vt:lpstr>MTPO_BM_In</vt:lpstr>
      <vt:lpstr>MTPO_BM_Out</vt:lpstr>
      <vt:lpstr>MTPO_BM_Spill</vt:lpstr>
      <vt:lpstr>MTPO_BMIn_Unreg</vt:lpstr>
      <vt:lpstr>MTPO_CAP_DivReq</vt:lpstr>
      <vt:lpstr>MTPO_Cry_Elev</vt:lpstr>
      <vt:lpstr>MTPO_Cry_Out</vt:lpstr>
      <vt:lpstr>MTPO_Cry_Spill</vt:lpstr>
      <vt:lpstr>MTPO_FG_Elev</vt:lpstr>
      <vt:lpstr>MTPO_FG_In</vt:lpstr>
      <vt:lpstr>MTPO_FG_Out</vt:lpstr>
      <vt:lpstr>MTPO_FG_Spill</vt:lpstr>
      <vt:lpstr>MTPO_FGIn_Unreg</vt:lpstr>
      <vt:lpstr>MTPO_Font_Elev</vt:lpstr>
      <vt:lpstr>MTPO_Font_In</vt:lpstr>
      <vt:lpstr>MTPO_Font_Out</vt:lpstr>
      <vt:lpstr>MTPO_Font_Spill</vt:lpstr>
      <vt:lpstr>MTPO_Hav_Egy</vt:lpstr>
      <vt:lpstr>MTPO_Hav_Elev</vt:lpstr>
      <vt:lpstr>MTPO_Hav_Out</vt:lpstr>
      <vt:lpstr>MTPO_Md_Egy</vt:lpstr>
      <vt:lpstr>MTPO_Md_Elev</vt:lpstr>
      <vt:lpstr>MTPO_Md_Out</vt:lpstr>
      <vt:lpstr>MTPO_Mo_Egy</vt:lpstr>
      <vt:lpstr>MTPO_Mo_Elev</vt:lpstr>
      <vt:lpstr>MTPO_Mo_Out</vt:lpstr>
      <vt:lpstr>MTPO_MWD_DivReq</vt:lpstr>
      <vt:lpstr>MTPO_Nav_Elev</vt:lpstr>
      <vt:lpstr>MTPO_Nav_In</vt:lpstr>
      <vt:lpstr>MTPO_Nav_Out</vt:lpstr>
      <vt:lpstr>MTPO_Nav_Spill</vt:lpstr>
      <vt:lpstr>MTPO_NavIn_Unreg</vt:lpstr>
      <vt:lpstr>MTPO_Pow_Elev</vt:lpstr>
      <vt:lpstr>MTPO_Pow_Evap</vt:lpstr>
      <vt:lpstr>MTPO_Pow_In</vt:lpstr>
      <vt:lpstr>MTPO_Pow_Out</vt:lpstr>
      <vt:lpstr>MTPO_Pow_Spill</vt:lpstr>
      <vt:lpstr>MTPO_Pow_Storage</vt:lpstr>
      <vt:lpstr>MTPO_PowIn_Unreg</vt:lpstr>
      <vt:lpstr>MTPO_SNWP_DivReq</vt:lpstr>
      <vt:lpstr>MTPO_TP_Elev</vt:lpstr>
      <vt:lpstr>MTPO_TP_In</vt:lpstr>
      <vt:lpstr>MTPO_TP_Out</vt:lpstr>
      <vt:lpstr>MTPO_Val_Elev</vt:lpstr>
      <vt:lpstr>MTPO_Val_In</vt:lpstr>
      <vt:lpstr>MTPO_Val_Out</vt:lpstr>
      <vt:lpstr>RangeName</vt:lpstr>
      <vt:lpstr>SlotID</vt:lpstr>
      <vt:lpstr>SlotName</vt:lpstr>
      <vt:lpstr>TFMS_BM_Elev</vt:lpstr>
      <vt:lpstr>TFMS_BM_In</vt:lpstr>
      <vt:lpstr>TFMS_BM_Out</vt:lpstr>
      <vt:lpstr>TFMS_BM_Spill</vt:lpstr>
      <vt:lpstr>TFMS_BMIn_Unreg</vt:lpstr>
      <vt:lpstr>TFMS_CAP_DivReq</vt:lpstr>
      <vt:lpstr>TFMS_Cry_Elev</vt:lpstr>
      <vt:lpstr>TFMS_Cry_Out</vt:lpstr>
      <vt:lpstr>TFMS_Cry_Spill</vt:lpstr>
      <vt:lpstr>TFMS_FG_Elev</vt:lpstr>
      <vt:lpstr>TFMS_FG_In</vt:lpstr>
      <vt:lpstr>TFMS_FG_Out</vt:lpstr>
      <vt:lpstr>TFMS_FG_Spill</vt:lpstr>
      <vt:lpstr>TFMS_FGIn_Unreg</vt:lpstr>
      <vt:lpstr>TFMS_Font_Elev</vt:lpstr>
      <vt:lpstr>TFMS_Font_In</vt:lpstr>
      <vt:lpstr>TFMS_Font_Out</vt:lpstr>
      <vt:lpstr>TFMS_Font_Spill</vt:lpstr>
      <vt:lpstr>TFMS_Hav_Egy</vt:lpstr>
      <vt:lpstr>TFMS_Hav_Elev</vt:lpstr>
      <vt:lpstr>TFMS_Hav_Out</vt:lpstr>
      <vt:lpstr>TFMS_Md_Egy</vt:lpstr>
      <vt:lpstr>TFMS_Md_Elev</vt:lpstr>
      <vt:lpstr>TFMS_Md_Out</vt:lpstr>
      <vt:lpstr>TFMS_Mo_Egy</vt:lpstr>
      <vt:lpstr>TFMS_Mo_Elev</vt:lpstr>
      <vt:lpstr>TFMS_Mo_Out</vt:lpstr>
      <vt:lpstr>TFMS_MWD_DivReq</vt:lpstr>
      <vt:lpstr>TFMS_Nav_Elev</vt:lpstr>
      <vt:lpstr>TFMS_Nav_In</vt:lpstr>
      <vt:lpstr>TFMS_Nav_Out</vt:lpstr>
      <vt:lpstr>TFMS_Nav_Spill</vt:lpstr>
      <vt:lpstr>TFMS_NavIn_Unreg</vt:lpstr>
      <vt:lpstr>TFMS_Pow_Elev</vt:lpstr>
      <vt:lpstr>TFMS_Pow_Evap</vt:lpstr>
      <vt:lpstr>TFMS_Pow_In</vt:lpstr>
      <vt:lpstr>TFMS_Pow_Out</vt:lpstr>
      <vt:lpstr>TFMS_Pow_Spill</vt:lpstr>
      <vt:lpstr>TFMS_Pow_Storage</vt:lpstr>
      <vt:lpstr>TFMS_PowIn_Unreg</vt:lpstr>
      <vt:lpstr>TFMS_SNWP_DivReq</vt:lpstr>
      <vt:lpstr>TFMS_TP_Elev</vt:lpstr>
      <vt:lpstr>TFMS_TP_In</vt:lpstr>
      <vt:lpstr>TFMS_TP_Out</vt:lpstr>
      <vt:lpstr>TFMS_Val_Elev</vt:lpstr>
      <vt:lpstr>TFMS_Val_In</vt:lpstr>
      <vt:lpstr>TFMS_Val_Out</vt:lpstr>
      <vt:lpstr>TFTime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</dc:creator>
  <cp:lastModifiedBy>Alex Pivarnik</cp:lastModifiedBy>
  <dcterms:created xsi:type="dcterms:W3CDTF">2006-09-16T00:00:00Z</dcterms:created>
  <dcterms:modified xsi:type="dcterms:W3CDTF">2020-12-10T00:02:55Z</dcterms:modified>
</cp:coreProperties>
</file>
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ms-excel.controlproperties+xml" PartName="/xl/ctrlProps/ctrlProp3.xml"/>
  <Override ContentType="application/vnd.ms-excel.controlproperties+xml" PartName="/xl/ctrlProps/ctrlProp4.xml"/>
  <Override ContentType="application/vnd.openxmlformats-officedocument.drawingml.chart+xml" PartName="/xl/charts/chart1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pivarnik\Desktop\GIT\MTOM\Output Data\"/>
    </mc:Choice>
  </mc:AlternateContent>
  <xr:revisionPtr revIDLastSave="0" documentId="13_ncr:1_{46E8D5A0-2448-4820-AE56-022629D003B8}" xr6:coauthVersionLast="45" xr6:coauthVersionMax="45" xr10:uidLastSave="{00000000-0000-0000-0000-000000000000}"/>
  <bookViews>
    <workbookView xWindow="-120" yWindow="-120" windowWidth="29040" windowHeight="15840" activeTab="2"/>
  </bookViews>
  <sheets>
    <sheet name="RunInformation" sheetId="4" r:id="rId1"/>
    <sheet name="24MS_Data" sheetId="2" r:id="rId2"/>
    <sheet name="MTOM_Data" sheetId="1" r:id="rId3"/>
    <sheet name="Compare_Data" sheetId="3" r:id="rId4"/>
    <sheet name="Compare_Plots" sheetId="6" r:id="rId5"/>
  </sheets>
  <definedNames>
    <definedName name="Diff_BM_Elev">Compare_Data!$N$4:$N$30</definedName>
    <definedName name="Diff_BM_In">Compare_Data!$O$4:$O$30</definedName>
    <definedName name="Diff_BM_Out">Compare_Data!$Q$4:$Q$30</definedName>
    <definedName name="Diff_BM_Spill">Compare_Data!$R$4:$R$30</definedName>
    <definedName name="Diff_BMIn_Unreg">Compare_Data!$P$4:$P$30</definedName>
    <definedName name="Diff_CAP_DivReq">Compare_Data!$AV$4:$AV$30</definedName>
    <definedName name="Diff_Cry_Elev">Compare_Data!$S$4:$S$30</definedName>
    <definedName name="Diff_Cry_Out">Compare_Data!$T$4:$T$30</definedName>
    <definedName name="Diff_Cry_Spill">Compare_Data!$U$4:$U$30</definedName>
    <definedName name="Diff_FG_Elev">Compare_Data!$F$4:$F$30</definedName>
    <definedName name="Diff_FG_In">Compare_Data!$G$4:$G$30</definedName>
    <definedName name="Diff_FG_Out">Compare_Data!$I$4:$I$30</definedName>
    <definedName name="Diff_FG_Spill">Compare_Data!$J$4:$J$30</definedName>
    <definedName name="Diff_FGIn_Unreg">Compare_Data!$H$4:$H$30</definedName>
    <definedName name="Diff_Font_Elev">Compare_Data!$B$4:$B$30</definedName>
    <definedName name="Diff_Font_In">Compare_Data!$C$4:$C$30</definedName>
    <definedName name="Diff_Font_Out">Compare_Data!$D$4:$D$30</definedName>
    <definedName name="Diff_Font_Spill">Compare_Data!$E$4:$E$30</definedName>
    <definedName name="Diff_Hav_Egy">Compare_Data!$AS$4:$AS$30</definedName>
    <definedName name="Diff_Hav_Elev">Compare_Data!$AQ$4:$AQ$30</definedName>
    <definedName name="Diff_Hav_Out">Compare_Data!$AR$4:$AR$30</definedName>
    <definedName name="Diff_Md_Egy">Compare_Data!$AM$4:$AM$30</definedName>
    <definedName name="Diff_Md_Elev">Compare_Data!$AK$4:$AK$30</definedName>
    <definedName name="Diff_Md_Out">Compare_Data!$AL$4:$AL$30</definedName>
    <definedName name="Diff_Mo_Egy">Compare_Data!$AP$4:$AP$30</definedName>
    <definedName name="Diff_Mo_Elev">Compare_Data!$AN$4:$AN$30</definedName>
    <definedName name="Diff_Mo_Out">Compare_Data!$AO$4:$AO$30</definedName>
    <definedName name="Diff_MWD_DivReq">Compare_Data!$AU$4:$AU$30</definedName>
    <definedName name="Diff_Nav_Elev">Compare_Data!$Y$4:$Y$30</definedName>
    <definedName name="Diff_Nav_In">Compare_Data!$Z$4:$Z$30</definedName>
    <definedName name="Diff_Nav_Out">Compare_Data!$AB$4:$AB$30</definedName>
    <definedName name="Diff_Nav_Spill">Compare_Data!$AC$4:$AC$30</definedName>
    <definedName name="Diff_NavIn_Unreg">Compare_Data!$AA$4:$AA$30</definedName>
    <definedName name="Diff_Pow_Elev">Compare_Data!$AD$4:$AD$30</definedName>
    <definedName name="Diff_Pow_Evap">Compare_Data!$AH$4:$AH$30</definedName>
    <definedName name="Diff_Pow_In">Compare_Data!$AF$4:$AF$30</definedName>
    <definedName name="Diff_Pow_Out">Compare_Data!$AI$4:$AI$30</definedName>
    <definedName name="Diff_Pow_Spill">Compare_Data!$AJ$4:$AJ$30</definedName>
    <definedName name="Diff_Pow_Storage">Compare_Data!$AE$4:$AE$30</definedName>
    <definedName name="Diff_PowIn_Unreg">Compare_Data!$AG$4:$AG$30</definedName>
    <definedName name="Diff_SNWP_DivReq">Compare_Data!$AT$4:$AT$30</definedName>
    <definedName name="Diff_Time">Compare_Data!$A$4:$A$27</definedName>
    <definedName name="Diff_TP_Elev">Compare_Data!$K$4:$K$30</definedName>
    <definedName name="Diff_TP_In">Compare_Data!$L$4:$L$30</definedName>
    <definedName name="Diff_TP_Out">Compare_Data!$M$4:$M$30</definedName>
    <definedName name="Diff_Val_Elev">Compare_Data!$V$4:$V$30</definedName>
    <definedName name="Diff_Val_In">Compare_Data!$W$4:$W$30</definedName>
    <definedName name="Diff_Val_Out">Compare_Data!$X$4:$X$30</definedName>
    <definedName name="Elevation">MTOM_Data!$B$4:$B$27</definedName>
    <definedName name="MOMTime">MTOM_Data!$A$4:$A$27</definedName>
    <definedName name="MTPO_BM_Elev">MTOM_Data!$N$4:$N$30</definedName>
    <definedName name="MTPO_BM_In">MTOM_Data!$O$4:$O$30</definedName>
    <definedName name="MTPO_BM_Out">MTOM_Data!$Q$4:$Q$30</definedName>
    <definedName name="MTPO_BM_Spill">MTOM_Data!$R$4:$R$30</definedName>
    <definedName name="MTPO_BMIn_Unreg">MTOM_Data!$P$4:$P$30</definedName>
    <definedName name="MTPO_CAP_DivReq">MTOM_Data!$AV$4:$AV$30</definedName>
    <definedName name="MTPO_Cry_Elev">MTOM_Data!$S$4:$S$30</definedName>
    <definedName name="MTPO_Cry_Out">MTOM_Data!$T$4:$T$30</definedName>
    <definedName name="MTPO_Cry_Spill">MTOM_Data!$U$4:$U$30</definedName>
    <definedName name="MTPO_FG_Elev">MTOM_Data!$F$4:$F$30</definedName>
    <definedName name="MTPO_FG_In">MTOM_Data!$G$4:$G$30</definedName>
    <definedName name="MTPO_FG_Out">MTOM_Data!$I$4:$I$30</definedName>
    <definedName name="MTPO_FG_Spill">MTOM_Data!$J$4:$J$30</definedName>
    <definedName name="MTPO_FGIn_Unreg">MTOM_Data!$H$4:$H$30</definedName>
    <definedName name="MTPO_Font_Elev">MTOM_Data!$B$4:$B$30</definedName>
    <definedName name="MTPO_Font_In">MTOM_Data!$C$4:$C$30</definedName>
    <definedName name="MTPO_Font_Out">MTOM_Data!$D$4:$D$30</definedName>
    <definedName name="MTPO_Font_Spill">MTOM_Data!$E$4:$E$30</definedName>
    <definedName name="MTPO_Hav_Egy">MTOM_Data!$AS$4:$AS$30</definedName>
    <definedName name="MTPO_Hav_Elev">MTOM_Data!$AQ$4:$AQ$30</definedName>
    <definedName name="MTPO_Hav_Out">MTOM_Data!$AR$4:$AR$30</definedName>
    <definedName name="MTPO_Md_Egy">MTOM_Data!$AM$4:$AM$30</definedName>
    <definedName name="MTPO_Md_Elev">MTOM_Data!$AK$4:$AK$30</definedName>
    <definedName name="MTPO_Md_Out">MTOM_Data!$AL$4:$AL$30</definedName>
    <definedName name="MTPO_Mo_Egy">MTOM_Data!$AP$4:$AP$30</definedName>
    <definedName name="MTPO_Mo_Elev">MTOM_Data!$AN$4:$AN$30</definedName>
    <definedName name="MTPO_Mo_Out">MTOM_Data!$AO$4:$AO$30</definedName>
    <definedName name="MTPO_MWD_DivReq">MTOM_Data!$AU$4:$AU$30</definedName>
    <definedName name="MTPO_Nav_Elev">MTOM_Data!$Y$4:$Y$30</definedName>
    <definedName name="MTPO_Nav_In">MTOM_Data!$Z$4:$Z$30</definedName>
    <definedName name="MTPO_Nav_Out">MTOM_Data!$AB$4:$AB$30</definedName>
    <definedName name="MTPO_Nav_Spill">MTOM_Data!$AC$4:$AC$30</definedName>
    <definedName name="MTPO_NavIn_Unreg">MTOM_Data!$AA$4:$AA$30</definedName>
    <definedName name="MTPO_Pow_Elev">MTOM_Data!$AD$4:$AD$30</definedName>
    <definedName name="MTPO_Pow_Evap">MTOM_Data!$AH$4:$AH$30</definedName>
    <definedName name="MTPO_Pow_In">MTOM_Data!$AF$4:$AF$30</definedName>
    <definedName name="MTPO_Pow_Out">MTOM_Data!$AI$4:$AI$30</definedName>
    <definedName name="MTPO_Pow_Spill">MTOM_Data!$AJ$4:$AJ$30</definedName>
    <definedName name="MTPO_Pow_Storage">MTOM_Data!$AE$4:$AE$30</definedName>
    <definedName name="MTPO_PowIn_Unreg">MTOM_Data!$AG$4:$AG$30</definedName>
    <definedName name="MTPO_SNWP_DivReq">MTOM_Data!$AT$4:$AT$30</definedName>
    <definedName name="MTPO_TP_Elev">MTOM_Data!$K$4:$K$30</definedName>
    <definedName name="MTPO_TP_In">MTOM_Data!$L$4:$L$30</definedName>
    <definedName name="MTPO_TP_Out">MTOM_Data!$M$4:$M$30</definedName>
    <definedName name="MTPO_Val_Elev">MTOM_Data!$V$4:$V$30</definedName>
    <definedName name="MTPO_Val_In">MTOM_Data!$W$4:$W$30</definedName>
    <definedName name="MTPO_Val_Out">MTOM_Data!$X$4:$X$30</definedName>
    <definedName name="RangeName">RunInformation!$G$4:$G$91</definedName>
    <definedName name="SlotID">RunInformation!$E$4:$E$78</definedName>
    <definedName name="SlotName">RunInformation!$F$4:$F$91</definedName>
    <definedName name="TFMS_BM_Elev">'24MS_Data'!$N$4:$N$30</definedName>
    <definedName name="TFMS_BM_In">'24MS_Data'!$O$4:$O$30</definedName>
    <definedName name="TFMS_BM_Out">'24MS_Data'!$Q$4:$Q$30</definedName>
    <definedName name="TFMS_BM_Spill">'24MS_Data'!$R$4:$R$30</definedName>
    <definedName name="TFMS_BMIn_Unreg">'24MS_Data'!$P$4:$P$30</definedName>
    <definedName name="TFMS_CAP_DivReq">'24MS_Data'!$AV$4:$AV$30</definedName>
    <definedName name="TFMS_Cry_Elev">'24MS_Data'!$S$4:$S$30</definedName>
    <definedName name="TFMS_Cry_Out">'24MS_Data'!$T$4:$T$30</definedName>
    <definedName name="TFMS_Cry_Spill">'24MS_Data'!$U$4:$U$30</definedName>
    <definedName name="TFMS_FG_Elev">'24MS_Data'!$F$4:$F$30</definedName>
    <definedName name="TFMS_FG_In">'24MS_Data'!$G$4:$G$30</definedName>
    <definedName name="TFMS_FG_Out">'24MS_Data'!$I$4:$I$30</definedName>
    <definedName name="TFMS_FG_Spill">'24MS_Data'!$J$4:$J$30</definedName>
    <definedName name="TFMS_FGIn_Unreg">'24MS_Data'!$H$4:$H$30</definedName>
    <definedName name="TFMS_Font_Elev">'24MS_Data'!$B$4:$B$30</definedName>
    <definedName name="TFMS_Font_In">'24MS_Data'!$C$4:$C$30</definedName>
    <definedName name="TFMS_Font_Out">'24MS_Data'!$D$4:$D$30</definedName>
    <definedName name="TFMS_Font_Spill">'24MS_Data'!$E$4:$E$30</definedName>
    <definedName name="TFMS_Hav_Egy">'24MS_Data'!$AS$4:$AS$30</definedName>
    <definedName name="TFMS_Hav_Elev">'24MS_Data'!$AQ$4:$AQ$30</definedName>
    <definedName name="TFMS_Hav_Out">'24MS_Data'!$AR$4:$AR$30</definedName>
    <definedName name="TFMS_Md_Egy">'24MS_Data'!$AM$4:$AM$30</definedName>
    <definedName name="TFMS_Md_Elev">'24MS_Data'!$AK$4:$AK$30</definedName>
    <definedName name="TFMS_Md_Out">'24MS_Data'!$AL$4:$AL$30</definedName>
    <definedName name="TFMS_Mo_Egy">'24MS_Data'!$AP$4:$AP$30</definedName>
    <definedName name="TFMS_Mo_Elev">'24MS_Data'!$AN$4:$AN$30</definedName>
    <definedName name="TFMS_Mo_Out">'24MS_Data'!$AO$4:$AO$30</definedName>
    <definedName name="TFMS_MWD_DivReq">'24MS_Data'!$AU$4:$AU$30</definedName>
    <definedName name="TFMS_Nav_Elev">'24MS_Data'!$Y$4:$Y$30</definedName>
    <definedName name="TFMS_Nav_In">'24MS_Data'!$Z$4:$Z$30</definedName>
    <definedName name="TFMS_Nav_Out">'24MS_Data'!$AB$4:$AB$30</definedName>
    <definedName name="TFMS_Nav_Spill">'24MS_Data'!$AC$4:$AC$30</definedName>
    <definedName name="TFMS_NavIn_Unreg">'24MS_Data'!$AA$4:$AA$30</definedName>
    <definedName name="TFMS_Pow_Elev">'24MS_Data'!$AD$4:$AD$30</definedName>
    <definedName name="TFMS_Pow_Evap">'24MS_Data'!$AH$4:$AH$30</definedName>
    <definedName name="TFMS_Pow_In">'24MS_Data'!$AF$4:$AF$30</definedName>
    <definedName name="TFMS_Pow_Out">'24MS_Data'!$AI$4:$AI$30</definedName>
    <definedName name="TFMS_Pow_Spill">'24MS_Data'!$AJ$4:$AJ$30</definedName>
    <definedName name="TFMS_Pow_Storage">'24MS_Data'!$AE$4:$AE$30</definedName>
    <definedName name="TFMS_PowIn_Unreg">'24MS_Data'!$AG$4:$AG$30</definedName>
    <definedName name="TFMS_SNWP_DivReq">'24MS_Data'!$AT$4:$AT$30</definedName>
    <definedName name="TFMS_TP_Elev">'24MS_Data'!$K$4:$K$30</definedName>
    <definedName name="TFMS_TP_In">'24MS_Data'!$L$4:$L$30</definedName>
    <definedName name="TFMS_TP_Out">'24MS_Data'!$M$4:$M$30</definedName>
    <definedName name="TFMS_Val_Elev">'24MS_Data'!$V$4:$V$30</definedName>
    <definedName name="TFMS_Val_In">'24MS_Data'!$W$4:$W$30</definedName>
    <definedName name="TFMS_Val_Out">'24MS_Data'!$X$4:$X$30</definedName>
    <definedName name="TFTime">'24MS_Data'!$A$4:$A$35</definedName>
  </definedNames>
  <calcPr calcId="191029" fullCalcOnLoad="tru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<sst xmlns="http://schemas.openxmlformats.org/spreadsheetml/2006/main" count="324" uniqueCount="156">
  <si>
    <t>Run Date Synchronization</t>
  </si>
  <si>
    <t>Elevation</t>
  </si>
  <si>
    <t>Outflow</t>
  </si>
  <si>
    <t>Spill</t>
  </si>
  <si>
    <t xml:space="preserve">Blue Mesa </t>
  </si>
  <si>
    <t>Taylor Park</t>
  </si>
  <si>
    <t>Flaming Gorge</t>
  </si>
  <si>
    <t>Fontenelle</t>
  </si>
  <si>
    <t>Crystal</t>
  </si>
  <si>
    <t>Vallecito</t>
  </si>
  <si>
    <t>Navajo</t>
  </si>
  <si>
    <t>Powell</t>
  </si>
  <si>
    <t>Mead</t>
  </si>
  <si>
    <t>Energy</t>
  </si>
  <si>
    <t>Mohave</t>
  </si>
  <si>
    <t>Havasu</t>
  </si>
  <si>
    <t>PumpingFromLakeMead:SNWP</t>
  </si>
  <si>
    <t>MWDDiversion</t>
  </si>
  <si>
    <t>CAPDiversion</t>
  </si>
  <si>
    <t>Diversion Requested</t>
  </si>
  <si>
    <t>Fontenelle.Outflow</t>
  </si>
  <si>
    <t>Fontenelle.Spill</t>
  </si>
  <si>
    <t>Havasu.Energy</t>
  </si>
  <si>
    <t>Havasu.Outflow</t>
  </si>
  <si>
    <t>Havasu.Pool Elevation</t>
  </si>
  <si>
    <t>Font_Spill</t>
  </si>
  <si>
    <t>Font_Out</t>
  </si>
  <si>
    <t>Font_Elev</t>
  </si>
  <si>
    <t>ID</t>
  </si>
  <si>
    <t>Slot</t>
  </si>
  <si>
    <t>Excel Name</t>
  </si>
  <si>
    <t>Slots to be Compared</t>
  </si>
  <si>
    <t>Hav_Elev</t>
  </si>
  <si>
    <t>Hav_Out</t>
  </si>
  <si>
    <t>Hav_Egy</t>
  </si>
  <si>
    <t>SNWP_DivReq</t>
  </si>
  <si>
    <t>MWD_DivReq</t>
  </si>
  <si>
    <t>24 Month Study</t>
  </si>
  <si>
    <t>Difference</t>
  </si>
  <si>
    <t>FG_Elev</t>
  </si>
  <si>
    <t>FlamingGorge.Outflow</t>
  </si>
  <si>
    <t>FG_Out</t>
  </si>
  <si>
    <t>FlamingGorge.Spill</t>
  </si>
  <si>
    <t>FG_Spill</t>
  </si>
  <si>
    <t>TP_Elev</t>
  </si>
  <si>
    <t>TaylorPark.Pool Elevation</t>
  </si>
  <si>
    <t>FlamingGorge.Pool Elevation</t>
  </si>
  <si>
    <t>Fontenelle.Pool Elevation</t>
  </si>
  <si>
    <t>TaylorPark.Outflow</t>
  </si>
  <si>
    <t>TP_Out</t>
  </si>
  <si>
    <t>BlueMesa.Pool Elevation</t>
  </si>
  <si>
    <t>BM_Elev</t>
  </si>
  <si>
    <t>BlueMesa.Outflow</t>
  </si>
  <si>
    <t>BM_Out</t>
  </si>
  <si>
    <t>BlueMesa.Spill</t>
  </si>
  <si>
    <t>BM_Spill</t>
  </si>
  <si>
    <t>24-Month Study Model Values</t>
  </si>
  <si>
    <t>x1 axis min</t>
  </si>
  <si>
    <t>x2 axis min</t>
  </si>
  <si>
    <t>x2 axis max</t>
  </si>
  <si>
    <t>auto</t>
  </si>
  <si>
    <t>override</t>
  </si>
  <si>
    <t>MOM Model Output</t>
  </si>
  <si>
    <t>Model Compare Values</t>
  </si>
  <si>
    <t>Crystal.Pool Elevation</t>
  </si>
  <si>
    <t>Crystal.Outflow</t>
  </si>
  <si>
    <t>Crystal.Spill</t>
  </si>
  <si>
    <t>Cry_Elev</t>
  </si>
  <si>
    <t>Cry_Out</t>
  </si>
  <si>
    <t>Cry_Spill</t>
  </si>
  <si>
    <t>Vallecito.Outflow</t>
  </si>
  <si>
    <t>Vallecito.Pool Elevation</t>
  </si>
  <si>
    <t>Val_Elev</t>
  </si>
  <si>
    <t>Val_Out</t>
  </si>
  <si>
    <t>Powell.Pool Elevation</t>
  </si>
  <si>
    <t>Powell.Outflow</t>
  </si>
  <si>
    <t>Powell.Spill</t>
  </si>
  <si>
    <t>Pow_Elev</t>
  </si>
  <si>
    <t>Pow_Out</t>
  </si>
  <si>
    <t>Pow_Spill</t>
  </si>
  <si>
    <t>Mead.Pool Elevation</t>
  </si>
  <si>
    <t>Mead.Outflow</t>
  </si>
  <si>
    <t>Md_Elev</t>
  </si>
  <si>
    <t>Md_Out</t>
  </si>
  <si>
    <t>Mead.Energy</t>
  </si>
  <si>
    <t>Md_Egy</t>
  </si>
  <si>
    <t>Navajo.Pool Elevation</t>
  </si>
  <si>
    <t>Navajo.Outflow</t>
  </si>
  <si>
    <t>Navajo.Spill</t>
  </si>
  <si>
    <t>Nav_Elev</t>
  </si>
  <si>
    <t>Nav_Out</t>
  </si>
  <si>
    <t>Nav_Spill</t>
  </si>
  <si>
    <t>Mohave.Pool Elevation</t>
  </si>
  <si>
    <t>Mohave.Outflow</t>
  </si>
  <si>
    <t>Mohave.Energy</t>
  </si>
  <si>
    <t>Mo_Elev</t>
  </si>
  <si>
    <t>Mo_Out</t>
  </si>
  <si>
    <t>Mo_Egy</t>
  </si>
  <si>
    <t>CAP_DivReq</t>
  </si>
  <si>
    <t>MTOM Model Output</t>
  </si>
  <si>
    <t>MTOM</t>
  </si>
  <si>
    <t>Model Run Dates</t>
  </si>
  <si>
    <t xml:space="preserve"> Nothing in Excel guarantees consistent units.</t>
  </si>
  <si>
    <t>Run Duration</t>
  </si>
  <si>
    <t>Durations</t>
  </si>
  <si>
    <t>Date of Run</t>
  </si>
  <si>
    <t>Run Start Date</t>
  </si>
  <si>
    <t>Run Duration (months)</t>
  </si>
  <si>
    <t>Fontenelle.Inflow</t>
  </si>
  <si>
    <t>Font_In</t>
  </si>
  <si>
    <t>FlamingGorge.Inflow</t>
  </si>
  <si>
    <t>FlamingGorge.UnregInflow</t>
  </si>
  <si>
    <t>FG_In</t>
  </si>
  <si>
    <t>FGIn_Unreg</t>
  </si>
  <si>
    <t>TaylorPark.Inflow</t>
  </si>
  <si>
    <t>TP_In</t>
  </si>
  <si>
    <t>BlueMesa.Inflow</t>
  </si>
  <si>
    <t>BlueMesa.UnregInflow</t>
  </si>
  <si>
    <t>BM_In</t>
  </si>
  <si>
    <t>BMIn_Unreg</t>
  </si>
  <si>
    <t>Vallecito.Inflow</t>
  </si>
  <si>
    <t>Val_In</t>
  </si>
  <si>
    <t>Navajo.Inflow</t>
  </si>
  <si>
    <t>Navajo.UnregInflow</t>
  </si>
  <si>
    <t>Nav_In</t>
  </si>
  <si>
    <t>NavIn_Unreg</t>
  </si>
  <si>
    <t>Powell.Inflow</t>
  </si>
  <si>
    <t>Powell.UnregInflow</t>
  </si>
  <si>
    <t>Powell.Storage</t>
  </si>
  <si>
    <t>Powell.Evaporation</t>
  </si>
  <si>
    <t>Pow_Evap</t>
  </si>
  <si>
    <t>PowIn_Unreg</t>
  </si>
  <si>
    <t>Pow_In</t>
  </si>
  <si>
    <t>Pow_Storage</t>
  </si>
  <si>
    <t>Inflow</t>
  </si>
  <si>
    <t>Unreg Inflow</t>
  </si>
  <si>
    <t>Storage</t>
  </si>
  <si>
    <t>Evaporation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</si>
  <si>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</si>
  <si>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</si>
  <si>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</si>
  <si>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</si>
  <si>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</si>
  <si>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</si>
  <si>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</si>
  <si>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</si>
  <si>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</si>
  <si>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</si>
  <si>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</si>
  <si>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</si>
  <si>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Duration</t>
  </si>
  <si>
    <t>Month No</t>
  </si>
  <si>
    <t>Month Date</t>
  </si>
  <si>
    <t>Max Days of Month</t>
  </si>
  <si>
    <t>Month</t>
  </si>
  <si>
    <t xml:space="preserve">Watch units compatibility between output from the two models.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</si>
</sst>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[$-409]mmmm\-yy;@"/>
    <numFmt numFmtId="166" formatCode="m/d/yyyy"/>
    <numFmt numFmtId="167" formatCode="m/yyyy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 tint="-0.14999847407453"/>
      <name val="Calibri"/>
      <family val="2"/>
      <scheme val="minor"/>
    </font>
    <font>
      <b/>
      <sz val="14"/>
      <color theme="4" tint="0.79995117038484"/>
      <name val="Calibri"/>
      <family val="2"/>
      <scheme val="minor"/>
    </font>
    <font>
      <b/>
      <sz val="14"/>
      <color theme="5" tint="0.79995117038484"/>
      <name val="Calibri"/>
      <family val="2"/>
      <scheme val="minor"/>
    </font>
    <font>
      <b/>
      <sz val="14"/>
      <color theme="6" tint="0.79995117038484"/>
      <name val="Calibri"/>
      <family val="2"/>
      <scheme val="minor"/>
    </font>
    <font>
      <b/>
      <sz val="14"/>
      <color theme="3" tint="0.79995117038484"/>
      <name val="Calibri"/>
      <family val="2"/>
      <scheme val="minor"/>
    </font>
    <font>
      <sz val="11"/>
      <color theme="1" tint="0.049287392803735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2" tint="-0.099978637043367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 tint="-0.1499984740745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6337778863"/>
        <bgColor indexed="64"/>
      </patternFill>
    </fill>
    <fill>
      <patternFill patternType="solid">
        <fgColor theme="0" tint="-0.14999847407453"/>
        <bgColor indexed="64"/>
      </patternFill>
    </fill>
    <fill>
      <patternFill patternType="solid">
        <fgColor theme="6" tint="0.59996337778863"/>
        <bgColor indexed="64"/>
      </patternFill>
    </fill>
    <fill>
      <patternFill patternType="solid">
        <fgColor theme="5" tint="0.59996337778863"/>
        <bgColor indexed="64"/>
      </patternFill>
    </fill>
    <fill>
      <patternFill patternType="solid">
        <fgColor theme="6" tint="0.79995117038484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/>
    <border/>
    <border/>
    <border/>
    <border/>
    <border/>
    <border/>
  </borders>
  <cellStyleXfs count="1">
    <xf numFmtId="0" fontId="0" fillId="0" borderId="0"/>
  </cellStyleXfs>
  <cellXfs count="137">
    <xf numFmtId="0" fontId="0" fillId="0" borderId="0" xfId="0"/>
    <xf numFmtId="0" fontId="0" fillId="2" borderId="0" xfId="0" applyFill="true"/>
    <xf numFmtId="0" fontId="1" fillId="3" borderId="15" xfId="0" applyFont="true" applyFill="true" applyBorder="true"/>
    <xf numFmtId="0" fontId="1" fillId="6" borderId="14" xfId="0" applyFont="true" applyFill="true" applyBorder="true"/>
    <xf numFmtId="0" fontId="0" fillId="3" borderId="7" xfId="0" applyFill="true" applyBorder="true"/>
    <xf numFmtId="0" fontId="0" fillId="3" borderId="10" xfId="0" applyFill="true" applyBorder="true"/>
    <xf numFmtId="2" fontId="0" fillId="4" borderId="1" xfId="0" applyNumberFormat="true" applyFill="true" applyBorder="true"/>
    <xf numFmtId="2" fontId="0" fillId="4" borderId="2" xfId="0" applyNumberFormat="true" applyFill="true" applyBorder="true"/>
    <xf numFmtId="2" fontId="0" fillId="4" borderId="3" xfId="0" applyNumberFormat="true" applyFill="true" applyBorder="true"/>
    <xf numFmtId="2" fontId="0" fillId="4" borderId="7" xfId="0" applyNumberFormat="true" applyFill="true" applyBorder="true"/>
    <xf numFmtId="2" fontId="0" fillId="4" borderId="6" xfId="0" applyNumberFormat="true" applyFill="true" applyBorder="true"/>
    <xf numFmtId="2" fontId="0" fillId="4" borderId="0" xfId="0" applyNumberFormat="true" applyFill="true" applyBorder="true"/>
    <xf numFmtId="2" fontId="0" fillId="4" borderId="12" xfId="0" applyNumberFormat="true" applyFill="true" applyBorder="true"/>
    <xf numFmtId="2" fontId="0" fillId="4" borderId="8" xfId="0" applyNumberFormat="true" applyFill="true" applyBorder="true"/>
    <xf numFmtId="2" fontId="0" fillId="4" borderId="9" xfId="0" applyNumberFormat="true" applyFill="true" applyBorder="true"/>
    <xf numFmtId="2" fontId="0" fillId="4" borderId="11" xfId="0" applyNumberFormat="true" applyFill="true" applyBorder="true"/>
    <xf numFmtId="2" fontId="0" fillId="4" borderId="13" xfId="0" applyNumberFormat="true" applyFill="true" applyBorder="true"/>
    <xf numFmtId="2" fontId="0" fillId="4" borderId="10" xfId="0" applyNumberFormat="true" applyFill="true" applyBorder="true"/>
    <xf numFmtId="0" fontId="1" fillId="3" borderId="14" xfId="0" applyFont="true" applyFill="true" applyBorder="true"/>
    <xf numFmtId="0" fontId="1" fillId="3" borderId="6" xfId="0" applyFont="true" applyFill="true" applyBorder="true"/>
    <xf numFmtId="0" fontId="1" fillId="3" borderId="0" xfId="0" applyFont="true" applyFill="true" applyBorder="true"/>
    <xf numFmtId="0" fontId="1" fillId="3" borderId="12" xfId="0" applyFont="true" applyFill="true" applyBorder="true"/>
    <xf numFmtId="0" fontId="1" fillId="3" borderId="8" xfId="0" applyFont="true" applyFill="true" applyBorder="true"/>
    <xf numFmtId="14" fontId="0" fillId="3" borderId="8" xfId="0" applyNumberFormat="true" applyFont="true" applyFill="true" applyBorder="true"/>
    <xf numFmtId="14" fontId="0" fillId="3" borderId="10" xfId="0" applyNumberFormat="true" applyFont="true" applyFill="true" applyBorder="true"/>
    <xf numFmtId="0" fontId="1" fillId="6" borderId="15" xfId="0" applyFont="true" applyFill="true" applyBorder="true"/>
    <xf numFmtId="0" fontId="1" fillId="6" borderId="9" xfId="0" applyFont="true" applyFill="true" applyBorder="true"/>
    <xf numFmtId="0" fontId="1" fillId="6" borderId="11" xfId="0" applyFont="true" applyFill="true" applyBorder="true"/>
    <xf numFmtId="0" fontId="1" fillId="6" borderId="13" xfId="0" applyFont="true" applyFill="true" applyBorder="true"/>
    <xf numFmtId="0" fontId="1" fillId="6" borderId="10" xfId="0" applyFont="true" applyFill="true" applyBorder="true"/>
    <xf numFmtId="0" fontId="0" fillId="6" borderId="7" xfId="0" applyFill="true" applyBorder="true"/>
    <xf numFmtId="0" fontId="0" fillId="6" borderId="8" xfId="0" applyFill="true" applyBorder="true"/>
    <xf numFmtId="14" fontId="0" fillId="6" borderId="8" xfId="0" applyNumberFormat="true" applyFill="true" applyBorder="true"/>
    <xf numFmtId="0" fontId="1" fillId="5" borderId="15" xfId="0" applyFont="true" applyFill="true" applyBorder="true"/>
    <xf numFmtId="0" fontId="1" fillId="5" borderId="14" xfId="0" applyFont="true" applyFill="true" applyBorder="true"/>
    <xf numFmtId="0" fontId="7" fillId="2" borderId="0" xfId="0" applyFont="true" applyFill="true"/>
    <xf numFmtId="0" fontId="0" fillId="2" borderId="1" xfId="0" applyFill="true" applyBorder="true"/>
    <xf numFmtId="164" fontId="0" fillId="4" borderId="2" xfId="0" applyNumberFormat="true" applyFill="true" applyBorder="true"/>
    <xf numFmtId="164" fontId="0" fillId="4" borderId="0" xfId="0" applyNumberFormat="true" applyFill="true" applyBorder="true"/>
    <xf numFmtId="164" fontId="0" fillId="4" borderId="11" xfId="0" applyNumberFormat="true" applyFill="true" applyBorder="true"/>
    <xf numFmtId="1" fontId="0" fillId="4" borderId="2" xfId="0" applyNumberFormat="true" applyFill="true" applyBorder="true"/>
    <xf numFmtId="1" fontId="0" fillId="4" borderId="0" xfId="0" applyNumberFormat="true" applyFill="true" applyBorder="true"/>
    <xf numFmtId="1" fontId="0" fillId="4" borderId="11" xfId="0" applyNumberFormat="true" applyFill="true" applyBorder="true"/>
    <xf numFmtId="14" fontId="0" fillId="6" borderId="6" xfId="0" applyNumberFormat="true" applyFill="true" applyBorder="true"/>
    <xf numFmtId="14" fontId="0" fillId="6" borderId="9" xfId="0" applyNumberFormat="true" applyFill="true" applyBorder="true"/>
    <xf numFmtId="0" fontId="1" fillId="5" borderId="6" xfId="0" applyFont="true" applyFill="true" applyBorder="true"/>
    <xf numFmtId="0" fontId="1" fillId="5" borderId="0" xfId="0" applyFont="true" applyFill="true" applyBorder="true"/>
    <xf numFmtId="0" fontId="1" fillId="5" borderId="12" xfId="0" applyFont="true" applyFill="true" applyBorder="true"/>
    <xf numFmtId="0" fontId="1" fillId="5" borderId="8" xfId="0" applyFont="true" applyFill="true" applyBorder="true"/>
    <xf numFmtId="14" fontId="0" fillId="5" borderId="6" xfId="0" applyNumberFormat="true" applyFill="true" applyBorder="true"/>
    <xf numFmtId="14" fontId="0" fillId="5" borderId="9" xfId="0" applyNumberFormat="true" applyFill="true" applyBorder="true"/>
    <xf numFmtId="0" fontId="0" fillId="5" borderId="1" xfId="0" applyFill="true" applyBorder="true"/>
    <xf numFmtId="0" fontId="0" fillId="5" borderId="6" xfId="0" applyFill="true" applyBorder="true"/>
    <xf numFmtId="14" fontId="0" fillId="5" borderId="1" xfId="0" applyNumberFormat="true" applyFill="true" applyBorder="true"/>
    <xf numFmtId="2" fontId="0" fillId="6" borderId="0" xfId="0" applyNumberFormat="true" applyFill="true" applyBorder="true"/>
    <xf numFmtId="14" fontId="0" fillId="4" borderId="6" xfId="0" applyNumberFormat="true" applyFill="true" applyBorder="true"/>
    <xf numFmtId="14" fontId="0" fillId="4" borderId="9" xfId="0" applyNumberFormat="true" applyFill="true" applyBorder="true"/>
    <xf numFmtId="0" fontId="1" fillId="4" borderId="4" xfId="0" applyFont="true" applyFill="true" applyBorder="true"/>
    <xf numFmtId="2" fontId="0" fillId="3" borderId="8" xfId="0" applyNumberFormat="true" applyFill="true" applyBorder="true"/>
    <xf numFmtId="2" fontId="0" fillId="5" borderId="8" xfId="0" applyNumberFormat="true" applyFill="true" applyBorder="true"/>
    <xf numFmtId="0" fontId="6" fillId="2" borderId="15" xfId="0" applyFont="true" applyFill="true" applyBorder="true" applyAlignment="true">
      <alignment horizontal="center"/>
    </xf>
    <xf numFmtId="0" fontId="4" fillId="2" borderId="15" xfId="0" applyFont="true" applyFill="true" applyBorder="true" applyAlignment="true">
      <alignment horizontal="center"/>
    </xf>
    <xf numFmtId="0" fontId="5" fillId="2" borderId="11" xfId="0" applyFont="true" applyFill="true" applyBorder="true" applyAlignment="true">
      <alignment horizontal="center"/>
    </xf>
    <xf numFmtId="14" fontId="0" fillId="2" borderId="0" xfId="0" applyNumberFormat="true" applyFill="true"/>
    <xf numFmtId="14" fontId="0" fillId="0" borderId="0" xfId="0" applyNumberFormat="true"/>
    <xf numFmtId="2" fontId="0" fillId="0" borderId="0" xfId="0" applyNumberFormat="true"/>
    <xf numFmtId="0" fontId="9" fillId="2" borderId="0" xfId="0" applyFont="true" applyFill="true"/>
    <xf numFmtId="0" fontId="9" fillId="0" borderId="0" xfId="0" applyFont="true"/>
    <xf numFmtId="2" fontId="9" fillId="0" borderId="0" xfId="0" applyNumberFormat="true" applyFont="true"/>
    <xf numFmtId="0" fontId="10" fillId="2" borderId="0" xfId="0" applyFont="true" applyFill="true"/>
    <xf numFmtId="2" fontId="0" fillId="4" borderId="1" xfId="0" applyNumberFormat="true" applyFill="true" applyBorder="true"/>
    <xf numFmtId="2" fontId="0" fillId="4" borderId="2" xfId="0" applyNumberFormat="true" applyFill="true" applyBorder="true"/>
    <xf numFmtId="2" fontId="0" fillId="4" borderId="3" xfId="0" applyNumberFormat="true" applyFill="true" applyBorder="true"/>
    <xf numFmtId="2" fontId="0" fillId="4" borderId="7" xfId="0" applyNumberFormat="true" applyFill="true" applyBorder="true"/>
    <xf numFmtId="2" fontId="0" fillId="4" borderId="6" xfId="0" applyNumberFormat="true" applyFill="true" applyBorder="true"/>
    <xf numFmtId="2" fontId="0" fillId="4" borderId="0" xfId="0" applyNumberFormat="true" applyFill="true" applyBorder="true"/>
    <xf numFmtId="2" fontId="0" fillId="4" borderId="12" xfId="0" applyNumberFormat="true" applyFill="true" applyBorder="true"/>
    <xf numFmtId="2" fontId="0" fillId="4" borderId="8" xfId="0" applyNumberFormat="true" applyFill="true" applyBorder="true"/>
    <xf numFmtId="1" fontId="0" fillId="4" borderId="2" xfId="0" applyNumberFormat="true" applyFill="true" applyBorder="true"/>
    <xf numFmtId="1" fontId="0" fillId="4" borderId="0" xfId="0" applyNumberFormat="true" applyFill="true" applyBorder="true"/>
    <xf numFmtId="0" fontId="12" fillId="0" borderId="0" xfId="0" applyFont="true"/>
    <xf numFmtId="22" fontId="12" fillId="0" borderId="0" xfId="0" applyNumberFormat="true" applyFont="true"/>
    <xf numFmtId="0" fontId="12" fillId="2" borderId="0" xfId="0" applyFont="true" applyFill="true"/>
    <xf numFmtId="0" fontId="12" fillId="2" borderId="0" xfId="0" applyFont="true" applyFill="true" applyBorder="true"/>
    <xf numFmtId="0" fontId="14" fillId="5" borderId="4" xfId="0" applyFont="true" applyFill="true" applyBorder="true" applyAlignment="true">
      <alignment horizontal="center"/>
    </xf>
    <xf numFmtId="0" fontId="14" fillId="5" borderId="14" xfId="0" applyFont="true" applyFill="true" applyBorder="true" applyAlignment="true">
      <alignment horizontal="center"/>
    </xf>
    <xf numFmtId="0" fontId="14" fillId="5" borderId="5" xfId="0" applyFont="true" applyFill="true" applyBorder="true" applyAlignment="true">
      <alignment horizontal="center"/>
    </xf>
    <xf numFmtId="0" fontId="15" fillId="2" borderId="14" xfId="0" applyFont="true" applyFill="true" applyBorder="true" applyAlignment="true">
      <alignment horizontal="center"/>
    </xf>
    <xf numFmtId="0" fontId="12" fillId="7" borderId="14" xfId="0" applyFont="true" applyFill="true" applyBorder="true" applyAlignment="true">
      <alignment horizontal="center"/>
    </xf>
    <xf numFmtId="0" fontId="12" fillId="0" borderId="14" xfId="0" applyFont="true" applyBorder="true" applyAlignment="true">
      <alignment horizontal="center"/>
    </xf>
    <xf numFmtId="0" fontId="12" fillId="3" borderId="6" xfId="0" applyFont="true" applyFill="true" applyBorder="true"/>
    <xf numFmtId="14" fontId="12" fillId="4" borderId="7" xfId="0" applyNumberFormat="true" applyFont="true" applyFill="true" applyBorder="true" applyAlignment="true">
      <alignment horizontal="center"/>
    </xf>
    <xf numFmtId="0" fontId="12" fillId="5" borderId="7" xfId="0" applyFont="true" applyFill="true" applyBorder="true" applyAlignment="true">
      <alignment horizontal="center"/>
    </xf>
    <xf numFmtId="0" fontId="12" fillId="4" borderId="7" xfId="0" applyFont="true" applyFill="true" applyBorder="true"/>
    <xf numFmtId="0" fontId="12" fillId="4" borderId="12" xfId="0" applyFont="true" applyFill="true" applyBorder="true"/>
    <xf numFmtId="0" fontId="12" fillId="4" borderId="1" xfId="0" applyFont="true" applyFill="true" applyBorder="true"/>
    <xf numFmtId="165" fontId="12" fillId="4" borderId="8" xfId="0" applyNumberFormat="true" applyFont="true" applyFill="true" applyBorder="true" applyAlignment="true">
      <alignment horizontal="center"/>
    </xf>
    <xf numFmtId="0" fontId="12" fillId="5" borderId="8" xfId="0" applyFont="true" applyFill="true" applyBorder="true" applyAlignment="true">
      <alignment horizontal="center"/>
    </xf>
    <xf numFmtId="0" fontId="12" fillId="4" borderId="8" xfId="0" applyFont="true" applyFill="true" applyBorder="true"/>
    <xf numFmtId="0" fontId="12" fillId="4" borderId="6" xfId="0" applyFont="true" applyFill="true" applyBorder="true"/>
    <xf numFmtId="14" fontId="12" fillId="7" borderId="14" xfId="0" applyNumberFormat="true" applyFont="true" applyFill="true" applyBorder="true" applyAlignment="true">
      <alignment horizontal="center"/>
    </xf>
    <xf numFmtId="0" fontId="12" fillId="3" borderId="9" xfId="0" applyFont="true" applyFill="true" applyBorder="true"/>
    <xf numFmtId="1" fontId="12" fillId="4" borderId="10" xfId="0" applyNumberFormat="true" applyFont="true" applyFill="true" applyBorder="true" applyAlignment="true">
      <alignment horizontal="center"/>
    </xf>
    <xf numFmtId="0" fontId="12" fillId="2" borderId="11" xfId="0" applyFont="true" applyFill="true" applyBorder="true"/>
    <xf numFmtId="0" fontId="12" fillId="4" borderId="9" xfId="0" applyFont="true" applyFill="true" applyBorder="true"/>
    <xf numFmtId="0" fontId="12" fillId="4" borderId="10" xfId="0" applyFont="true" applyFill="true" applyBorder="true"/>
    <xf numFmtId="0" fontId="12" fillId="5" borderId="10" xfId="0" applyFont="true" applyFill="true" applyBorder="true" applyAlignment="true">
      <alignment horizontal="center"/>
    </xf>
    <xf numFmtId="0" fontId="12" fillId="4" borderId="13" xfId="0" applyFont="true" applyFill="true" applyBorder="true"/>
    <xf numFmtId="0" fontId="13" fillId="2" borderId="11" xfId="0" applyFont="true" applyFill="true" applyBorder="true" applyAlignment="true">
      <alignment horizontal="center"/>
    </xf>
    <xf numFmtId="0" fontId="14" fillId="3" borderId="4" xfId="0" applyFont="true" applyFill="true" applyBorder="true" applyAlignment="true">
      <alignment horizontal="center"/>
    </xf>
    <xf numFmtId="0" fontId="14" fillId="3" borderId="5" xfId="0" applyFont="true" applyFill="true" applyBorder="true" applyAlignment="true">
      <alignment horizontal="center"/>
    </xf>
    <xf numFmtId="0" fontId="11" fillId="2" borderId="11" xfId="0" applyFont="true" applyFill="true" applyBorder="true" applyAlignment="true">
      <alignment horizontal="center" vertical="center"/>
    </xf>
    <xf numFmtId="0" fontId="11" fillId="2" borderId="0" xfId="0" applyFont="true" applyFill="true" applyBorder="true" applyAlignment="true">
      <alignment horizontal="center" vertical="center"/>
    </xf>
    <xf numFmtId="0" fontId="6" fillId="2" borderId="15" xfId="0" applyFont="true" applyFill="true" applyBorder="true" applyAlignment="true">
      <alignment horizontal="center"/>
    </xf>
    <xf numFmtId="0" fontId="3" fillId="2" borderId="15" xfId="0" applyFont="true" applyFill="true" applyBorder="true" applyAlignment="true">
      <alignment horizontal="center"/>
    </xf>
    <xf numFmtId="0" fontId="3" fillId="2" borderId="5" xfId="0" applyFont="true" applyFill="true" applyBorder="true" applyAlignment="true">
      <alignment horizontal="center"/>
    </xf>
    <xf numFmtId="0" fontId="1" fillId="3" borderId="14" xfId="0" applyFont="true" applyFill="true" applyBorder="true" applyAlignment="true">
      <alignment horizontal="center"/>
    </xf>
    <xf numFmtId="0" fontId="1" fillId="3" borderId="5" xfId="0" applyFont="true" applyFill="true" applyBorder="true" applyAlignment="true">
      <alignment horizontal="center"/>
    </xf>
    <xf numFmtId="0" fontId="1" fillId="3" borderId="4" xfId="0" applyFont="true" applyFill="true" applyBorder="true" applyAlignment="true">
      <alignment horizontal="center"/>
    </xf>
    <xf numFmtId="0" fontId="1" fillId="3" borderId="15" xfId="0" applyFont="true" applyFill="true" applyBorder="true" applyAlignment="true">
      <alignment horizontal="center"/>
    </xf>
    <xf numFmtId="0" fontId="4" fillId="2" borderId="15" xfId="0" applyFont="true" applyFill="true" applyBorder="true" applyAlignment="true">
      <alignment horizontal="center"/>
    </xf>
    <xf numFmtId="0" fontId="4" fillId="2" borderId="5" xfId="0" applyFont="true" applyFill="true" applyBorder="true" applyAlignment="true">
      <alignment horizontal="center"/>
    </xf>
    <xf numFmtId="0" fontId="1" fillId="6" borderId="4" xfId="0" applyFont="true" applyFill="true" applyBorder="true" applyAlignment="true">
      <alignment horizontal="center"/>
    </xf>
    <xf numFmtId="0" fontId="1" fillId="6" borderId="15" xfId="0" applyFont="true" applyFill="true" applyBorder="true" applyAlignment="true">
      <alignment horizontal="center"/>
    </xf>
    <xf numFmtId="0" fontId="1" fillId="6" borderId="5" xfId="0" applyFont="true" applyFill="true" applyBorder="true" applyAlignment="true">
      <alignment horizontal="center"/>
    </xf>
    <xf numFmtId="0" fontId="5" fillId="2" borderId="11" xfId="0" applyFont="true" applyFill="true" applyBorder="true" applyAlignment="true">
      <alignment horizontal="center"/>
    </xf>
    <xf numFmtId="0" fontId="1" fillId="5" borderId="15" xfId="0" applyFont="true" applyFill="true" applyBorder="true" applyAlignment="true">
      <alignment horizontal="center"/>
    </xf>
    <xf numFmtId="0" fontId="1" fillId="5" borderId="4" xfId="0" applyFont="true" applyFill="true" applyBorder="true" applyAlignment="true">
      <alignment horizontal="center"/>
    </xf>
    <xf numFmtId="0" fontId="1" fillId="5" borderId="5" xfId="0" applyFont="true" applyFill="true" applyBorder="true" applyAlignment="true">
      <alignment horizontal="center"/>
    </xf>
    <xf numFmtId="0" fontId="2" fillId="2" borderId="11" xfId="0" applyFont="true" applyFill="true" applyBorder="true" applyAlignment="true">
      <alignment horizontal="center"/>
    </xf>
    <xf numFmtId="0" fontId="0" fillId="0" borderId="16" xfId="0" applyNumberFormat="true"/>
    <xf numFmtId="14" fontId="0" fillId="0" borderId="17" xfId="0" applyNumberFormat="true"/>
    <xf numFmtId="22" fontId="0" fillId="0" borderId="18" xfId="0" applyNumberFormat="true"/>
    <xf numFmtId="166" fontId="0" fillId="0" borderId="19" xfId="0" applyNumberFormat="true"/>
    <xf numFmtId="167" fontId="0" fillId="0" borderId="20" xfId="0" applyNumberFormat="true"/>
    <xf numFmtId="0" fontId="0" fillId="0" borderId="21" xfId="0" applyNumberFormat="true"/>
    <xf numFmtId="49" fontId="0" fillId="0" borderId="22" xfId="0" applyNumberFormat="true" applyAlignment="true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sharedStrings.xml" Type="http://schemas.openxmlformats.org/officeDocument/2006/relationships/sharedStrings" Id="rId8"/><Relationship Target="worksheets/sheet3.xml" Type="http://schemas.openxmlformats.org/officeDocument/2006/relationships/worksheet" Id="rId3"/><Relationship Target="styles.xml" Type="http://schemas.openxmlformats.org/officeDocument/2006/relationships/styles" Id="rId7"/><Relationship Target="worksheets/sheet2.xml" Type="http://schemas.openxmlformats.org/officeDocument/2006/relationships/worksheet" Id="rId2"/><Relationship Target="worksheets/sheet1.xml" Type="http://schemas.openxmlformats.org/officeDocument/2006/relationships/worksheet" Id="rId1"/><Relationship Target="theme/theme1.xml" Type="http://schemas.openxmlformats.org/officeDocument/2006/relationships/theme" Id="rId6"/><Relationship Target="worksheets/sheet5.xml" Type="http://schemas.openxmlformats.org/officeDocument/2006/relationships/worksheet" Id="rId5"/><Relationship Target="vbaProject.bin" Type="http://schemas.microsoft.com/office/2006/relationships/vbaProject" Id="rId10"/><Relationship Target="worksheets/sheet4.xml" Type="http://schemas.openxmlformats.org/officeDocument/2006/relationships/worksheet" Id="rId4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Comparison</a:t>
            </a:r>
            <a:r>
              <a:rPr lang="en-US" baseline="0"/>
              <a:t> Values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1127880626447842E-2"/>
          <c:y val="0.10887420951575692"/>
          <c:w val="0.71549769078032788"/>
          <c:h val="0.8296473427398846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Compare_Plots!$B$3</c:f>
              <c:strCache>
                <c:ptCount val="1"/>
                <c:pt idx="0">
                  <c:v>24 Month Study</c:v>
                </c:pt>
              </c:strCache>
            </c:strRef>
          </c:tx>
          <c:xVal>
            <c:numRef>
              <c:f>Compare_Plots!$A$4:$A$30</c:f>
              <c:numCache>
                <c:formatCode>m/d/yyyy</c:formatCode>
                <c:ptCount val="27"/>
                <c:pt idx="0">
                  <c:v>44043</c:v>
                </c:pt>
                <c:pt idx="1">
                  <c:v>44074</c:v>
                </c:pt>
                <c:pt idx="2">
                  <c:v>44104</c:v>
                </c:pt>
                <c:pt idx="3">
                  <c:v>44135</c:v>
                </c:pt>
                <c:pt idx="4">
                  <c:v>44165</c:v>
                </c:pt>
                <c:pt idx="5">
                  <c:v>44196</c:v>
                </c:pt>
                <c:pt idx="6">
                  <c:v>44227</c:v>
                </c:pt>
                <c:pt idx="7">
                  <c:v>44255</c:v>
                </c:pt>
                <c:pt idx="8">
                  <c:v>44286</c:v>
                </c:pt>
                <c:pt idx="9">
                  <c:v>44316</c:v>
                </c:pt>
                <c:pt idx="10">
                  <c:v>44347</c:v>
                </c:pt>
                <c:pt idx="11">
                  <c:v>44377</c:v>
                </c:pt>
                <c:pt idx="12">
                  <c:v>44408</c:v>
                </c:pt>
                <c:pt idx="13">
                  <c:v>44439</c:v>
                </c:pt>
                <c:pt idx="14">
                  <c:v>44469</c:v>
                </c:pt>
                <c:pt idx="15">
                  <c:v>44500</c:v>
                </c:pt>
                <c:pt idx="16">
                  <c:v>44530</c:v>
                </c:pt>
                <c:pt idx="17">
                  <c:v>44561</c:v>
                </c:pt>
                <c:pt idx="18">
                  <c:v>44592</c:v>
                </c:pt>
                <c:pt idx="19">
                  <c:v>44620</c:v>
                </c:pt>
                <c:pt idx="20">
                  <c:v>44651</c:v>
                </c:pt>
                <c:pt idx="21">
                  <c:v>44681</c:v>
                </c:pt>
                <c:pt idx="22">
                  <c:v>44712</c:v>
                </c:pt>
                <c:pt idx="23">
                  <c:v>44742</c:v>
                </c:pt>
                <c:pt idx="24">
                  <c:v>44773</c:v>
                </c:pt>
                <c:pt idx="25">
                  <c:v>44804</c:v>
                </c:pt>
                <c:pt idx="26">
                  <c:v>44834</c:v>
                </c:pt>
              </c:numCache>
            </c:numRef>
          </c:xVal>
          <c:yVal>
            <c:numRef>
              <c:f>Compare_Plots!$B$4:$B$30</c:f>
              <c:numCache>
                <c:formatCode>0.00</c:formatCode>
                <c:ptCount val="27"/>
                <c:pt idx="0">
                  <c:v>1085.2514934580042</c:v>
                </c:pt>
                <c:pt idx="1">
                  <c:v>1085.2599523720462</c:v>
                </c:pt>
                <c:pt idx="2">
                  <c:v>1083.6798558923874</c:v>
                </c:pt>
                <c:pt idx="3">
                  <c:v>1084.5267326541982</c:v>
                </c:pt>
                <c:pt idx="4">
                  <c:v>1083.7590032841194</c:v>
                </c:pt>
                <c:pt idx="5">
                  <c:v>1085.5920461548544</c:v>
                </c:pt>
                <c:pt idx="6">
                  <c:v>1089.770448458004</c:v>
                </c:pt>
                <c:pt idx="7">
                  <c:v>1092.7880563188965</c:v>
                </c:pt>
                <c:pt idx="8">
                  <c:v>1091.2966744881878</c:v>
                </c:pt>
                <c:pt idx="9">
                  <c:v>1087.724158809054</c:v>
                </c:pt>
                <c:pt idx="10">
                  <c:v>1084.1785632808387</c:v>
                </c:pt>
                <c:pt idx="11">
                  <c:v>1081.22423926181</c:v>
                </c:pt>
                <c:pt idx="12">
                  <c:v>1081.0852705643033</c:v>
                </c:pt>
                <c:pt idx="13">
                  <c:v>1082.12067383202</c:v>
                </c:pt>
                <c:pt idx="14">
                  <c:v>1081.3807422834634</c:v>
                </c:pt>
                <c:pt idx="15">
                  <c:v>1082.6548651279516</c:v>
                </c:pt>
                <c:pt idx="16">
                  <c:v>1082.5916416765081</c:v>
                </c:pt>
                <c:pt idx="17">
                  <c:v>1085.303377805117</c:v>
                </c:pt>
                <c:pt idx="18">
                  <c:v>1089.6326745964554</c:v>
                </c:pt>
                <c:pt idx="19">
                  <c:v>1092.7962117454058</c:v>
                </c:pt>
                <c:pt idx="20">
                  <c:v>1091.4510094783452</c:v>
                </c:pt>
                <c:pt idx="21">
                  <c:v>1088.0272570669281</c:v>
                </c:pt>
                <c:pt idx="22">
                  <c:v>1084.6320435662719</c:v>
                </c:pt>
                <c:pt idx="23">
                  <c:v>1081.8303308464556</c:v>
                </c:pt>
                <c:pt idx="24">
                  <c:v>1081.8374736778203</c:v>
                </c:pt>
                <c:pt idx="25">
                  <c:v>1083.0145074081354</c:v>
                </c:pt>
                <c:pt idx="26">
                  <c:v>1082.4227507283454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50-4062-B8F5-CF4921D1568F}"/>
            </c:ext>
          </c:extLst>
        </c:ser>
        <c:ser>
          <c:idx val="1"/>
          <c:order val="1"/>
          <c:tx>
            <c:strRef>
              <c:f>Compare_Plots!$C$3</c:f>
              <c:strCache>
                <c:ptCount val="1"/>
                <c:pt idx="0">
                  <c:v>MTOM</c:v>
                </c:pt>
              </c:strCache>
            </c:strRef>
          </c:tx>
          <c:xVal>
            <c:numRef>
              <c:f>Compare_Plots!$A$4:$A$30</c:f>
              <c:numCache>
                <c:formatCode>m/d/yyyy</c:formatCode>
                <c:ptCount val="27"/>
                <c:pt idx="0">
                  <c:v>44043</c:v>
                </c:pt>
                <c:pt idx="1">
                  <c:v>44074</c:v>
                </c:pt>
                <c:pt idx="2">
                  <c:v>44104</c:v>
                </c:pt>
                <c:pt idx="3">
                  <c:v>44135</c:v>
                </c:pt>
                <c:pt idx="4">
                  <c:v>44165</c:v>
                </c:pt>
                <c:pt idx="5">
                  <c:v>44196</c:v>
                </c:pt>
                <c:pt idx="6">
                  <c:v>44227</c:v>
                </c:pt>
                <c:pt idx="7">
                  <c:v>44255</c:v>
                </c:pt>
                <c:pt idx="8">
                  <c:v>44286</c:v>
                </c:pt>
                <c:pt idx="9">
                  <c:v>44316</c:v>
                </c:pt>
                <c:pt idx="10">
                  <c:v>44347</c:v>
                </c:pt>
                <c:pt idx="11">
                  <c:v>44377</c:v>
                </c:pt>
                <c:pt idx="12">
                  <c:v>44408</c:v>
                </c:pt>
                <c:pt idx="13">
                  <c:v>44439</c:v>
                </c:pt>
                <c:pt idx="14">
                  <c:v>44469</c:v>
                </c:pt>
                <c:pt idx="15">
                  <c:v>44500</c:v>
                </c:pt>
                <c:pt idx="16">
                  <c:v>44530</c:v>
                </c:pt>
                <c:pt idx="17">
                  <c:v>44561</c:v>
                </c:pt>
                <c:pt idx="18">
                  <c:v>44592</c:v>
                </c:pt>
                <c:pt idx="19">
                  <c:v>44620</c:v>
                </c:pt>
                <c:pt idx="20">
                  <c:v>44651</c:v>
                </c:pt>
                <c:pt idx="21">
                  <c:v>44681</c:v>
                </c:pt>
                <c:pt idx="22">
                  <c:v>44712</c:v>
                </c:pt>
                <c:pt idx="23">
                  <c:v>44742</c:v>
                </c:pt>
                <c:pt idx="24">
                  <c:v>44773</c:v>
                </c:pt>
                <c:pt idx="25">
                  <c:v>44804</c:v>
                </c:pt>
                <c:pt idx="26">
                  <c:v>44834</c:v>
                </c:pt>
              </c:numCache>
            </c:numRef>
          </c:xVal>
          <c:yVal>
            <c:numRef>
              <c:f>Compare_Plots!$C$4:$C$30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50-4062-B8F5-CF4921D15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13800"/>
        <c:axId val="183417720"/>
      </c:scatterChart>
      <c:scatterChart>
        <c:scatterStyle val="lineMarker"/>
        <c:varyColors val="0"/>
        <c:ser>
          <c:idx val="2"/>
          <c:order val="2"/>
          <c:tx>
            <c:strRef>
              <c:f>Compare_Plots!$D$3</c:f>
              <c:strCache>
                <c:ptCount val="1"/>
                <c:pt idx="0">
                  <c:v>Difference</c:v>
                </c:pt>
              </c:strCache>
            </c:strRef>
          </c:tx>
          <c:xVal>
            <c:numRef>
              <c:f>Compare_Plots!$A$4:$A$30</c:f>
              <c:numCache>
                <c:formatCode>m/d/yyyy</c:formatCode>
                <c:ptCount val="27"/>
                <c:pt idx="0">
                  <c:v>44043</c:v>
                </c:pt>
                <c:pt idx="1">
                  <c:v>44074</c:v>
                </c:pt>
                <c:pt idx="2">
                  <c:v>44104</c:v>
                </c:pt>
                <c:pt idx="3">
                  <c:v>44135</c:v>
                </c:pt>
                <c:pt idx="4">
                  <c:v>44165</c:v>
                </c:pt>
                <c:pt idx="5">
                  <c:v>44196</c:v>
                </c:pt>
                <c:pt idx="6">
                  <c:v>44227</c:v>
                </c:pt>
                <c:pt idx="7">
                  <c:v>44255</c:v>
                </c:pt>
                <c:pt idx="8">
                  <c:v>44286</c:v>
                </c:pt>
                <c:pt idx="9">
                  <c:v>44316</c:v>
                </c:pt>
                <c:pt idx="10">
                  <c:v>44347</c:v>
                </c:pt>
                <c:pt idx="11">
                  <c:v>44377</c:v>
                </c:pt>
                <c:pt idx="12">
                  <c:v>44408</c:v>
                </c:pt>
                <c:pt idx="13">
                  <c:v>44439</c:v>
                </c:pt>
                <c:pt idx="14">
                  <c:v>44469</c:v>
                </c:pt>
                <c:pt idx="15">
                  <c:v>44500</c:v>
                </c:pt>
                <c:pt idx="16">
                  <c:v>44530</c:v>
                </c:pt>
                <c:pt idx="17">
                  <c:v>44561</c:v>
                </c:pt>
                <c:pt idx="18">
                  <c:v>44592</c:v>
                </c:pt>
                <c:pt idx="19">
                  <c:v>44620</c:v>
                </c:pt>
                <c:pt idx="20">
                  <c:v>44651</c:v>
                </c:pt>
                <c:pt idx="21">
                  <c:v>44681</c:v>
                </c:pt>
                <c:pt idx="22">
                  <c:v>44712</c:v>
                </c:pt>
                <c:pt idx="23">
                  <c:v>44742</c:v>
                </c:pt>
                <c:pt idx="24">
                  <c:v>44773</c:v>
                </c:pt>
                <c:pt idx="25">
                  <c:v>44804</c:v>
                </c:pt>
                <c:pt idx="26">
                  <c:v>44834</c:v>
                </c:pt>
              </c:numCache>
            </c:numRef>
          </c:xVal>
          <c:yVal>
            <c:numRef>
              <c:f>Compare_Plots!$D$4:$D$30</c:f>
              <c:numCache>
                <c:formatCode>0.00</c:formatCode>
                <c:ptCount val="27"/>
                <c:pt idx="0">
                  <c:v>1085.2514934580042</c:v>
                </c:pt>
                <c:pt idx="1">
                  <c:v>1085.2599523720462</c:v>
                </c:pt>
                <c:pt idx="2">
                  <c:v>1083.6798558923874</c:v>
                </c:pt>
                <c:pt idx="3">
                  <c:v>1084.5267326541982</c:v>
                </c:pt>
                <c:pt idx="4">
                  <c:v>1083.7590032841194</c:v>
                </c:pt>
                <c:pt idx="5">
                  <c:v>1085.5920461548544</c:v>
                </c:pt>
                <c:pt idx="6">
                  <c:v>1089.770448458004</c:v>
                </c:pt>
                <c:pt idx="7">
                  <c:v>1092.7880563188965</c:v>
                </c:pt>
                <c:pt idx="8">
                  <c:v>1091.2966744881878</c:v>
                </c:pt>
                <c:pt idx="9">
                  <c:v>1087.724158809054</c:v>
                </c:pt>
                <c:pt idx="10">
                  <c:v>1084.1785632808387</c:v>
                </c:pt>
                <c:pt idx="11">
                  <c:v>1081.22423926181</c:v>
                </c:pt>
                <c:pt idx="12">
                  <c:v>1081.0852705643033</c:v>
                </c:pt>
                <c:pt idx="13">
                  <c:v>1082.12067383202</c:v>
                </c:pt>
                <c:pt idx="14">
                  <c:v>1081.3807422834634</c:v>
                </c:pt>
                <c:pt idx="15">
                  <c:v>1082.6548651279516</c:v>
                </c:pt>
                <c:pt idx="16">
                  <c:v>1082.5916416765081</c:v>
                </c:pt>
                <c:pt idx="17">
                  <c:v>1085.303377805117</c:v>
                </c:pt>
                <c:pt idx="18">
                  <c:v>1089.6326745964554</c:v>
                </c:pt>
                <c:pt idx="19">
                  <c:v>1092.7962117454058</c:v>
                </c:pt>
                <c:pt idx="20">
                  <c:v>1091.4510094783452</c:v>
                </c:pt>
                <c:pt idx="21">
                  <c:v>1088.0272570669281</c:v>
                </c:pt>
                <c:pt idx="22">
                  <c:v>1084.6320435662719</c:v>
                </c:pt>
                <c:pt idx="23">
                  <c:v>1081.8303308464556</c:v>
                </c:pt>
                <c:pt idx="24">
                  <c:v>1081.8374736778203</c:v>
                </c:pt>
                <c:pt idx="25">
                  <c:v>1083.0145074081354</c:v>
                </c:pt>
                <c:pt idx="26">
                  <c:v>1082.4227507283454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50-4062-B8F5-CF4921D15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13040"/>
        <c:axId val="657313832"/>
      </c:scatterChart>
      <c:valAx>
        <c:axId val="183413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3417720"/>
        <c:crosses val="autoZero"/>
        <c:crossBetween val="midCat"/>
      </c:valAx>
      <c:valAx>
        <c:axId val="183417720"/>
        <c:scaling>
          <c:orientation val="minMax"/>
          <c:min val="108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3413800"/>
        <c:crosses val="autoZero"/>
        <c:crossBetween val="midCat"/>
      </c:valAx>
      <c:valAx>
        <c:axId val="657313832"/>
        <c:scaling>
          <c:orientation val="minMax"/>
          <c:max val="3"/>
          <c:min val="-5"/>
        </c:scaling>
        <c:delete val="0"/>
        <c:axPos val="r"/>
        <c:numFmt formatCode="0.00" sourceLinked="1"/>
        <c:majorTickMark val="out"/>
        <c:minorTickMark val="none"/>
        <c:tickLblPos val="nextTo"/>
        <c:crossAx val="665913040"/>
        <c:crosses val="max"/>
        <c:crossBetween val="midCat"/>
      </c:valAx>
      <c:valAx>
        <c:axId val="66591304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73138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5400000" scaled="0"/>
    </a:gradFill>
  </c:spPr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AD$4" fmlaRange="$AE$8:$AE$19" noThreeD="1" sel="7" val="4"/>
</file>

<file path=xl/ctrlProps/ctrlProp3.xml><?xml version="1.0" encoding="utf-8"?>
<formControlPr xmlns="http://schemas.microsoft.com/office/spreadsheetml/2009/9/main" objectType="Drop" dropLines="15" dropStyle="combo" dx="16" fmlaLink="$A$36" fmlaRange="RunInformation!$F$4:$F$91" noThreeD="1" sel="36" val="33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?><Relationships xmlns="http://schemas.openxmlformats.org/package/2006/relationships"><Relationship Target="../charts/chart1.xml" Type="http://schemas.openxmlformats.org/officeDocument/2006/relationships/chart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7</xdr:row>
          <xdr:rowOff>133350</xdr:rowOff>
        </xdr:from>
        <xdr:to>
          <xdr:col>2</xdr:col>
          <xdr:colOff>447675</xdr:colOff>
          <xdr:row>9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9525</xdr:rowOff>
        </xdr:from>
        <xdr:to>
          <xdr:col>2</xdr:col>
          <xdr:colOff>1019175</xdr:colOff>
          <xdr:row>4</xdr:row>
          <xdr:rowOff>161925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38972</xdr:colOff>
      <xdr:row>4</xdr:row>
      <xdr:rowOff>190838</xdr:rowOff>
    </xdr:from>
    <xdr:to>
      <xdr:col>2</xdr:col>
      <xdr:colOff>1022608</xdr:colOff>
      <xdr:row>5</xdr:row>
      <xdr:rowOff>178896</xdr:rowOff>
    </xdr:to>
    <xdr:sp macro="" textlink="$AD$3">
      <xdr:nvSpPr>
        <xdr:cNvPr id="2" name="TextBox 1">
          <a:extLst>
            <a:ext xmlns:a16="http://schemas.microsoft.com/office/drawing/2014/main"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true"/>
      </xdr:nvSpPr>
      <xdr:spPr>
        <a:xfrm>
          <a:off x="2125285" y="1039385"/>
          <a:ext cx="983636" cy="1790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false" anchor="ctr"/>
        <a:lstStyle/>
        <a:p>
          <a:pPr algn="ctr"/>
          <a:fld id="{400BD6C4-0C05-4EC6-8A84-7BF5BBC5DE5E}" type="TxLink">
            <a:rPr lang="en-US" sz="1100"/>
            <a:pPr algn="ctr"/>
            <a:t>27</a:t>
          </a:fld>
          <a:endParaRPr lang="en-US" sz="1100"/>
        </a:p>
      </xdr:txBody>
    </xdr:sp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5</xdr:col>
      <xdr:colOff>0</xdr:colOff>
      <xdr:row>1</xdr:row>
      <xdr:rowOff>0</xdr:rowOff>
    </xdr:from>
    <xdr:to>
      <xdr:col>20</xdr:col>
      <xdr:colOff>9525</xdr:colOff>
      <xdr:row>30</xdr:row>
      <xdr:rowOff>95250</xdr:rowOff>
    </xdr:to>
    <xdr:graphicFrame macro="">
      <xdr:nvGraphicFramePr>
        <xdr:cNvPr id="2" name="Chart 1">
          <a:extLst>
            <a:ext xmlns:a16="http://schemas.microsoft.com/office/drawing/2014/main"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</xdr:row>
          <xdr:rowOff>123825</xdr:rowOff>
        </xdr:from>
        <xdr:to>
          <xdr:col>8</xdr:col>
          <xdr:colOff>171450</xdr:colOff>
          <xdr:row>2</xdr:row>
          <xdr:rowOff>133350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352425</xdr:colOff>
          <xdr:row>2</xdr:row>
          <xdr:rowOff>19050</xdr:rowOff>
        </xdr:from>
        <xdr:to>
          <xdr:col>19</xdr:col>
          <xdr:colOff>342900</xdr:colOff>
          <xdr:row>4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Diff Trace to 2nd Y-Axis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?><Relationships xmlns="http://schemas.openxmlformats.org/package/2006/relationships"><Relationship Target="../drawings/vmlDrawing1.vml" Type="http://schemas.openxmlformats.org/officeDocument/2006/relationships/vmlDrawing" Id="rId3"/><Relationship Target="../drawings/drawing1.xml" Type="http://schemas.openxmlformats.org/officeDocument/2006/relationships/drawing" Id="rId2"/><Relationship Target="../printerSettings/printerSettings1.bin" Type="http://schemas.openxmlformats.org/officeDocument/2006/relationships/printerSettings" Id="rId1"/><Relationship Target="../ctrlProps/ctrlProp2.xml" Type="http://schemas.openxmlformats.org/officeDocument/2006/relationships/ctrlProp" Id="rId5"/><Relationship Target="../ctrlProps/ctrlProp1.xml" Type="http://schemas.openxmlformats.org/officeDocument/2006/relationships/ctrlProp" Id="rId4"/></Relationships>
</file>

<file path=xl/worksheets/_rels/sheet5.xml.rels><?xml version="1.0" encoding="UTF-8"?><Relationships xmlns="http://schemas.openxmlformats.org/package/2006/relationships"><Relationship Target="../ctrlProps/ctrlProp3.xml" Type="http://schemas.openxmlformats.org/officeDocument/2006/relationships/ctrlProp" Id="rId3"/><Relationship Target="../drawings/vmlDrawing2.vml" Type="http://schemas.openxmlformats.org/officeDocument/2006/relationships/vmlDrawing" Id="rId2"/><Relationship Target="../drawings/drawing2.xml" Type="http://schemas.openxmlformats.org/officeDocument/2006/relationships/drawing" Id="rId1"/><Relationship Target="../ctrlProps/ctrlProp4.xml" Type="http://schemas.openxmlformats.org/officeDocument/2006/relationships/ctrlProp" Id="rId4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2:AF91"/>
  <sheetViews>
    <sheetView showGridLines="false" zoomScaleNormal="100" workbookViewId="0">
      <selection activeCell="C5" sqref="C5"/>
    </sheetView>
  </sheetViews>
  <sheetFormatPr defaultColWidth="8.85546875" defaultRowHeight="15" x14ac:dyDescent="0.25"/>
  <cols>
    <col min="1" max="1" width="10" style="80" customWidth="true"/>
    <col min="2" max="2" width="21.28515625" style="80" customWidth="true"/>
    <col min="3" max="3" width="15.85546875" style="80" customWidth="true"/>
    <col min="4" max="4" width="10.5703125" style="80" customWidth="true"/>
    <col min="5" max="5" width="8.85546875" style="80"/>
    <col min="6" max="6" width="26.85546875" style="80" customWidth="true"/>
    <col min="7" max="7" width="14" style="80" customWidth="true"/>
    <col min="8" max="8" width="8.85546875" style="80"/>
    <col min="9" max="9" width="4.42578125" style="80" customWidth="true"/>
    <col min="10" max="10" width="12.85546875" style="80" customWidth="true"/>
    <col min="11" max="28" width="8.85546875" style="80"/>
    <col min="29" max="29" width="11.42578125" style="80" bestFit="true" customWidth="true"/>
    <col min="30" max="30" width="18.140625" style="80" bestFit="true" customWidth="true"/>
    <col min="31" max="31" width="10.85546875" style="80" bestFit="true" customWidth="true"/>
    <col min="32" max="32" width="8.7109375" style="80" bestFit="true" customWidth="true"/>
    <col min="33" max="16384" width="8.85546875" style="80"/>
  </cols>
  <sheetData>
    <row r="2" ht="21.75" customHeight="true" x14ac:dyDescent="0.3">
      <c r="A2" s="112" t="s">
        <v>0</v>
      </c>
      <c r="B2" s="112"/>
      <c r="C2" s="112"/>
      <c r="D2" s="112"/>
      <c r="E2" s="111" t="s">
        <v>31</v>
      </c>
      <c r="F2" s="111"/>
      <c r="G2" s="111"/>
      <c r="I2" s="108" t="s">
        <v>104</v>
      </c>
      <c r="J2" s="108"/>
      <c r="AD2" s="81">
        <f ca="true">NOW()</f>
        <v>44168.321378125002</v>
      </c>
    </row>
    <row r="3" x14ac:dyDescent="0.25">
      <c r="A3" s="82"/>
      <c r="B3" s="109" t="s">
        <v>101</v>
      </c>
      <c r="C3" s="110"/>
      <c r="D3" s="83"/>
      <c r="E3" s="84" t="s">
        <v>28</v>
      </c>
      <c r="F3" s="85" t="s">
        <v>29</v>
      </c>
      <c r="G3" s="86" t="s">
        <v>30</v>
      </c>
      <c r="I3" s="84" t="s">
        <v>28</v>
      </c>
      <c r="J3" s="86" t="s">
        <v>103</v>
      </c>
      <c r="AC3" s="87" t="s">
        <v>150</v>
      </c>
      <c r="AD3" s="88">
        <f>LOOKUP(AD4,$AC$8:$AC$19,$AF$8:$AF$19)</f>
        <v>27</v>
      </c>
      <c r="AE3" s="89"/>
      <c r="AF3" s="89"/>
    </row>
    <row r="4" x14ac:dyDescent="0.25">
      <c r="A4" s="82"/>
      <c r="B4" s="90" t="s">
        <v>105</v>
      </c>
      <c r="C4" s="91">
        <v>44036</v>
      </c>
      <c r="D4" s="83"/>
      <c r="E4" s="92">
        <v>1</v>
      </c>
      <c r="F4" s="93" t="s">
        <v>47</v>
      </c>
      <c r="G4" s="94" t="s">
        <v>27</v>
      </c>
      <c r="I4" s="95">
        <v>1</v>
      </c>
      <c r="J4" s="93">
        <v>12</v>
      </c>
      <c r="AC4" s="87" t="s">
        <v>151</v>
      </c>
      <c r="AD4" s="88">
        <v>7</v>
      </c>
      <c r="AE4" s="89"/>
      <c r="AF4" s="89"/>
    </row>
    <row r="5" x14ac:dyDescent="0.25">
      <c r="A5" s="82"/>
      <c r="B5" s="90" t="s">
        <v>106</v>
      </c>
      <c r="C5" s="96">
        <v>3</v>
      </c>
      <c r="D5" s="83"/>
      <c r="E5" s="97">
        <v>2</v>
      </c>
      <c r="F5" s="98" t="s">
        <v>108</v>
      </c>
      <c r="G5" s="94" t="s">
        <v>109</v>
      </c>
      <c r="I5" s="99">
        <v>2</v>
      </c>
      <c r="J5" s="98">
        <v>24</v>
      </c>
      <c r="AC5" s="87" t="s">
        <v>152</v>
      </c>
      <c r="AD5" s="100">
        <f>DATE(YEAR(C4),AD4,LOOKUP(AD4,AC8:AC19,AD8:AD19))</f>
        <v>44043</v>
      </c>
      <c r="AE5" s="89"/>
      <c r="AF5" s="89"/>
    </row>
    <row r="6" ht="16.5" customHeight="true" x14ac:dyDescent="0.25">
      <c r="A6" s="82"/>
      <c r="B6" s="101" t="s">
        <v>107</v>
      </c>
      <c r="C6" s="102">
        <f>LOOKUP(AD3,J4:J13,I4:I13)</f>
        <v>5</v>
      </c>
      <c r="D6" s="103"/>
      <c r="E6" s="97">
        <v>3</v>
      </c>
      <c r="F6" s="98" t="s">
        <v>20</v>
      </c>
      <c r="G6" s="94" t="s">
        <v>26</v>
      </c>
      <c r="I6" s="99">
        <v>3</v>
      </c>
      <c r="J6" s="98">
        <v>25</v>
      </c>
      <c r="AC6" s="89"/>
      <c r="AD6" s="89" t="str">
        <f>IF(OR(MOD(YEAR(AD5),400)=0,AND(MOD(YEAR(AD5),4)=0,MOD(YEAR(AD5),100)&lt;&gt;0)),"Leap Year", "NOT a Leap Year")</f>
        <v>Leap Year</v>
      </c>
      <c r="AE6" s="89"/>
      <c r="AF6" s="89"/>
    </row>
    <row r="7" x14ac:dyDescent="0.25">
      <c r="A7" s="82"/>
      <c r="B7" s="82"/>
      <c r="C7" s="82">
        <f>LOOKUP(C6,I4:J13)</f>
        <v>27</v>
      </c>
      <c r="D7" s="82"/>
      <c r="E7" s="97">
        <v>4</v>
      </c>
      <c r="F7" s="98" t="s">
        <v>21</v>
      </c>
      <c r="G7" s="94" t="s">
        <v>25</v>
      </c>
      <c r="I7" s="99">
        <v>4</v>
      </c>
      <c r="J7" s="98">
        <v>26</v>
      </c>
      <c r="AC7" s="87" t="s">
        <v>151</v>
      </c>
      <c r="AD7" s="87" t="s">
        <v>153</v>
      </c>
      <c r="AE7" s="87" t="s">
        <v>154</v>
      </c>
      <c r="AF7" s="87" t="s">
        <v>150</v>
      </c>
    </row>
    <row r="8" x14ac:dyDescent="0.25">
      <c r="A8" s="82"/>
      <c r="B8" s="82"/>
      <c r="C8" s="82"/>
      <c r="D8" s="82"/>
      <c r="E8" s="97">
        <v>5</v>
      </c>
      <c r="F8" s="98" t="s">
        <v>46</v>
      </c>
      <c r="G8" s="94" t="s">
        <v>39</v>
      </c>
      <c r="I8" s="99">
        <v>5</v>
      </c>
      <c r="J8" s="98">
        <v>27</v>
      </c>
      <c r="AC8" s="88">
        <v>1</v>
      </c>
      <c r="AD8" s="88">
        <v>31</v>
      </c>
      <c r="AE8" s="88" t="s">
        <v>138</v>
      </c>
      <c r="AF8" s="88">
        <v>24</v>
      </c>
    </row>
    <row r="9" x14ac:dyDescent="0.25">
      <c r="A9" s="82"/>
      <c r="B9" s="82"/>
      <c r="C9" s="82"/>
      <c r="D9" s="82"/>
      <c r="E9" s="97">
        <v>6</v>
      </c>
      <c r="F9" s="98" t="s">
        <v>110</v>
      </c>
      <c r="G9" s="94" t="s">
        <v>112</v>
      </c>
      <c r="I9" s="99">
        <v>6</v>
      </c>
      <c r="J9" s="98">
        <v>28</v>
      </c>
      <c r="AC9" s="88">
        <v>2</v>
      </c>
      <c r="AD9" s="88">
        <f ca="true">IF(OR(MOD(YEAR(AD2),400)=0,AND(MOD(YEAR(AD2),4)=0,MOD(YEAR(AD2),100)&lt;&gt;0)),29, 28)</f>
        <v>29</v>
      </c>
      <c r="AE9" s="88" t="s">
        <v>139</v>
      </c>
      <c r="AF9" s="88">
        <v>32</v>
      </c>
    </row>
    <row r="10" x14ac:dyDescent="0.25">
      <c r="A10" s="82"/>
      <c r="B10" s="82"/>
      <c r="C10" s="82"/>
      <c r="D10" s="82"/>
      <c r="E10" s="97">
        <v>7</v>
      </c>
      <c r="F10" s="98" t="s">
        <v>111</v>
      </c>
      <c r="G10" s="94" t="s">
        <v>113</v>
      </c>
      <c r="I10" s="99">
        <v>7</v>
      </c>
      <c r="J10" s="98">
        <v>29</v>
      </c>
      <c r="AC10" s="88">
        <v>3</v>
      </c>
      <c r="AD10" s="88">
        <v>31</v>
      </c>
      <c r="AE10" s="88" t="s">
        <v>140</v>
      </c>
      <c r="AF10" s="88">
        <v>31</v>
      </c>
    </row>
    <row r="11" x14ac:dyDescent="0.25">
      <c r="A11" s="80" t="s">
        <v>155</v>
      </c>
      <c r="E11" s="97">
        <v>8</v>
      </c>
      <c r="F11" s="98" t="s">
        <v>40</v>
      </c>
      <c r="G11" s="94" t="s">
        <v>41</v>
      </c>
      <c r="I11" s="99">
        <v>8</v>
      </c>
      <c r="J11" s="98">
        <v>30</v>
      </c>
      <c r="AC11" s="88">
        <v>4</v>
      </c>
      <c r="AD11" s="88">
        <v>30</v>
      </c>
      <c r="AE11" s="88" t="s">
        <v>141</v>
      </c>
      <c r="AF11" s="88">
        <v>30</v>
      </c>
    </row>
    <row r="12" x14ac:dyDescent="0.25">
      <c r="A12" s="80" t="s">
        <v>102</v>
      </c>
      <c r="E12" s="97">
        <v>9</v>
      </c>
      <c r="F12" s="98" t="s">
        <v>42</v>
      </c>
      <c r="G12" s="94" t="s">
        <v>43</v>
      </c>
      <c r="I12" s="99">
        <v>9</v>
      </c>
      <c r="J12" s="98">
        <v>31</v>
      </c>
      <c r="AC12" s="88">
        <v>5</v>
      </c>
      <c r="AD12" s="88">
        <v>31</v>
      </c>
      <c r="AE12" s="88" t="s">
        <v>142</v>
      </c>
      <c r="AF12" s="88">
        <v>29</v>
      </c>
    </row>
    <row r="13" x14ac:dyDescent="0.25">
      <c r="E13" s="97">
        <v>10</v>
      </c>
      <c r="F13" s="98" t="s">
        <v>45</v>
      </c>
      <c r="G13" s="94" t="s">
        <v>44</v>
      </c>
      <c r="I13" s="104">
        <v>10</v>
      </c>
      <c r="J13" s="105">
        <v>32</v>
      </c>
      <c r="AC13" s="88">
        <v>6</v>
      </c>
      <c r="AD13" s="88">
        <v>30</v>
      </c>
      <c r="AE13" s="88" t="s">
        <v>143</v>
      </c>
      <c r="AF13" s="88">
        <v>28</v>
      </c>
    </row>
    <row r="14" x14ac:dyDescent="0.25">
      <c r="E14" s="97">
        <v>11</v>
      </c>
      <c r="F14" s="98" t="s">
        <v>114</v>
      </c>
      <c r="G14" s="94" t="s">
        <v>115</v>
      </c>
      <c r="AC14" s="88">
        <v>7</v>
      </c>
      <c r="AD14" s="88">
        <v>31</v>
      </c>
      <c r="AE14" s="88" t="s">
        <v>144</v>
      </c>
      <c r="AF14" s="88">
        <v>27</v>
      </c>
    </row>
    <row r="15" x14ac:dyDescent="0.25">
      <c r="E15" s="97">
        <v>12</v>
      </c>
      <c r="F15" s="98" t="s">
        <v>48</v>
      </c>
      <c r="G15" s="94" t="s">
        <v>49</v>
      </c>
      <c r="AC15" s="88">
        <v>8</v>
      </c>
      <c r="AD15" s="88">
        <v>31</v>
      </c>
      <c r="AE15" s="88" t="s">
        <v>145</v>
      </c>
      <c r="AF15" s="88">
        <v>26</v>
      </c>
    </row>
    <row r="16" x14ac:dyDescent="0.25">
      <c r="E16" s="97">
        <v>13</v>
      </c>
      <c r="F16" s="98" t="s">
        <v>50</v>
      </c>
      <c r="G16" s="94" t="s">
        <v>51</v>
      </c>
      <c r="AC16" s="88">
        <v>9</v>
      </c>
      <c r="AD16" s="88">
        <v>30</v>
      </c>
      <c r="AE16" s="88" t="s">
        <v>146</v>
      </c>
      <c r="AF16" s="88">
        <v>25</v>
      </c>
    </row>
    <row r="17" x14ac:dyDescent="0.25">
      <c r="E17" s="97">
        <v>14</v>
      </c>
      <c r="F17" s="98" t="s">
        <v>116</v>
      </c>
      <c r="G17" s="94" t="s">
        <v>118</v>
      </c>
      <c r="AC17" s="88">
        <v>10</v>
      </c>
      <c r="AD17" s="88">
        <v>31</v>
      </c>
      <c r="AE17" s="88" t="s">
        <v>147</v>
      </c>
      <c r="AF17" s="88">
        <v>24</v>
      </c>
    </row>
    <row r="18" x14ac:dyDescent="0.25">
      <c r="E18" s="97">
        <v>15</v>
      </c>
      <c r="F18" s="98" t="s">
        <v>117</v>
      </c>
      <c r="G18" s="94" t="s">
        <v>119</v>
      </c>
      <c r="AC18" s="88">
        <v>11</v>
      </c>
      <c r="AD18" s="88">
        <v>30</v>
      </c>
      <c r="AE18" s="88" t="s">
        <v>148</v>
      </c>
      <c r="AF18" s="88">
        <v>24</v>
      </c>
    </row>
    <row r="19" x14ac:dyDescent="0.25">
      <c r="E19" s="97">
        <v>16</v>
      </c>
      <c r="F19" s="98" t="s">
        <v>52</v>
      </c>
      <c r="G19" s="94" t="s">
        <v>53</v>
      </c>
      <c r="AC19" s="88">
        <v>12</v>
      </c>
      <c r="AD19" s="88">
        <v>31</v>
      </c>
      <c r="AE19" s="88" t="s">
        <v>149</v>
      </c>
      <c r="AF19" s="88">
        <v>24</v>
      </c>
    </row>
    <row r="20" x14ac:dyDescent="0.25">
      <c r="E20" s="97">
        <v>17</v>
      </c>
      <c r="F20" s="98" t="s">
        <v>54</v>
      </c>
      <c r="G20" s="94" t="s">
        <v>55</v>
      </c>
    </row>
    <row r="21" x14ac:dyDescent="0.25">
      <c r="E21" s="97">
        <v>18</v>
      </c>
      <c r="F21" s="98" t="s">
        <v>64</v>
      </c>
      <c r="G21" s="94" t="s">
        <v>67</v>
      </c>
    </row>
    <row r="22" x14ac:dyDescent="0.25">
      <c r="E22" s="97">
        <v>19</v>
      </c>
      <c r="F22" s="98" t="s">
        <v>65</v>
      </c>
      <c r="G22" s="94" t="s">
        <v>68</v>
      </c>
    </row>
    <row r="23" x14ac:dyDescent="0.25">
      <c r="E23" s="97">
        <v>20</v>
      </c>
      <c r="F23" s="98" t="s">
        <v>66</v>
      </c>
      <c r="G23" s="94" t="s">
        <v>69</v>
      </c>
    </row>
    <row r="24" x14ac:dyDescent="0.25">
      <c r="E24" s="97">
        <v>21</v>
      </c>
      <c r="F24" s="98" t="s">
        <v>71</v>
      </c>
      <c r="G24" s="94" t="s">
        <v>72</v>
      </c>
    </row>
    <row r="25" x14ac:dyDescent="0.25">
      <c r="E25" s="97">
        <v>22</v>
      </c>
      <c r="F25" s="98" t="s">
        <v>120</v>
      </c>
      <c r="G25" s="94" t="s">
        <v>121</v>
      </c>
    </row>
    <row r="26" x14ac:dyDescent="0.25">
      <c r="E26" s="97">
        <v>23</v>
      </c>
      <c r="F26" s="98" t="s">
        <v>70</v>
      </c>
      <c r="G26" s="94" t="s">
        <v>73</v>
      </c>
    </row>
    <row r="27" x14ac:dyDescent="0.25">
      <c r="E27" s="97">
        <v>24</v>
      </c>
      <c r="F27" s="98" t="s">
        <v>86</v>
      </c>
      <c r="G27" s="94" t="s">
        <v>89</v>
      </c>
    </row>
    <row r="28" x14ac:dyDescent="0.25">
      <c r="E28" s="97">
        <v>25</v>
      </c>
      <c r="F28" s="98" t="s">
        <v>122</v>
      </c>
      <c r="G28" s="94" t="s">
        <v>124</v>
      </c>
    </row>
    <row r="29" x14ac:dyDescent="0.25">
      <c r="E29" s="97">
        <v>26</v>
      </c>
      <c r="F29" s="98" t="s">
        <v>123</v>
      </c>
      <c r="G29" s="94" t="s">
        <v>125</v>
      </c>
    </row>
    <row r="30" x14ac:dyDescent="0.25">
      <c r="E30" s="97">
        <v>27</v>
      </c>
      <c r="F30" s="98" t="s">
        <v>87</v>
      </c>
      <c r="G30" s="94" t="s">
        <v>90</v>
      </c>
    </row>
    <row r="31" x14ac:dyDescent="0.25">
      <c r="E31" s="97">
        <v>28</v>
      </c>
      <c r="F31" s="98" t="s">
        <v>88</v>
      </c>
      <c r="G31" s="94" t="s">
        <v>91</v>
      </c>
    </row>
    <row r="32" x14ac:dyDescent="0.25">
      <c r="E32" s="97">
        <v>29</v>
      </c>
      <c r="F32" s="98" t="s">
        <v>74</v>
      </c>
      <c r="G32" s="94" t="s">
        <v>77</v>
      </c>
    </row>
    <row r="33" x14ac:dyDescent="0.25">
      <c r="E33" s="97">
        <v>30</v>
      </c>
      <c r="F33" s="98" t="s">
        <v>128</v>
      </c>
      <c r="G33" s="94" t="s">
        <v>133</v>
      </c>
    </row>
    <row r="34" x14ac:dyDescent="0.25">
      <c r="E34" s="97">
        <v>31</v>
      </c>
      <c r="F34" s="98" t="s">
        <v>126</v>
      </c>
      <c r="G34" s="94" t="s">
        <v>132</v>
      </c>
    </row>
    <row r="35" x14ac:dyDescent="0.25">
      <c r="E35" s="97">
        <v>32</v>
      </c>
      <c r="F35" s="98" t="s">
        <v>127</v>
      </c>
      <c r="G35" s="94" t="s">
        <v>131</v>
      </c>
    </row>
    <row r="36" x14ac:dyDescent="0.25">
      <c r="E36" s="97">
        <v>33</v>
      </c>
      <c r="F36" s="98" t="s">
        <v>129</v>
      </c>
      <c r="G36" s="94" t="s">
        <v>130</v>
      </c>
    </row>
    <row r="37" x14ac:dyDescent="0.25">
      <c r="E37" s="97">
        <v>34</v>
      </c>
      <c r="F37" s="98" t="s">
        <v>75</v>
      </c>
      <c r="G37" s="94" t="s">
        <v>78</v>
      </c>
    </row>
    <row r="38" x14ac:dyDescent="0.25">
      <c r="E38" s="97">
        <v>35</v>
      </c>
      <c r="F38" s="98" t="s">
        <v>76</v>
      </c>
      <c r="G38" s="94" t="s">
        <v>79</v>
      </c>
    </row>
    <row r="39" x14ac:dyDescent="0.25">
      <c r="E39" s="97">
        <v>36</v>
      </c>
      <c r="F39" s="98" t="s">
        <v>80</v>
      </c>
      <c r="G39" s="94" t="s">
        <v>82</v>
      </c>
    </row>
    <row r="40" x14ac:dyDescent="0.25">
      <c r="E40" s="97">
        <v>37</v>
      </c>
      <c r="F40" s="98" t="s">
        <v>81</v>
      </c>
      <c r="G40" s="94" t="s">
        <v>83</v>
      </c>
    </row>
    <row r="41" x14ac:dyDescent="0.25">
      <c r="E41" s="97">
        <v>38</v>
      </c>
      <c r="F41" s="98" t="s">
        <v>84</v>
      </c>
      <c r="G41" s="94" t="s">
        <v>85</v>
      </c>
    </row>
    <row r="42" x14ac:dyDescent="0.25">
      <c r="E42" s="97">
        <v>39</v>
      </c>
      <c r="F42" s="98" t="s">
        <v>92</v>
      </c>
      <c r="G42" s="94" t="s">
        <v>95</v>
      </c>
    </row>
    <row r="43" x14ac:dyDescent="0.25">
      <c r="E43" s="97">
        <v>40</v>
      </c>
      <c r="F43" s="98" t="s">
        <v>93</v>
      </c>
      <c r="G43" s="94" t="s">
        <v>96</v>
      </c>
    </row>
    <row r="44" x14ac:dyDescent="0.25">
      <c r="E44" s="97">
        <v>41</v>
      </c>
      <c r="F44" s="98" t="s">
        <v>94</v>
      </c>
      <c r="G44" s="94" t="s">
        <v>97</v>
      </c>
    </row>
    <row r="45" x14ac:dyDescent="0.25">
      <c r="E45" s="97">
        <v>42</v>
      </c>
      <c r="F45" s="98" t="s">
        <v>24</v>
      </c>
      <c r="G45" s="94" t="s">
        <v>32</v>
      </c>
    </row>
    <row r="46" x14ac:dyDescent="0.25">
      <c r="E46" s="97">
        <v>43</v>
      </c>
      <c r="F46" s="98" t="s">
        <v>23</v>
      </c>
      <c r="G46" s="94" t="s">
        <v>33</v>
      </c>
    </row>
    <row r="47" x14ac:dyDescent="0.25">
      <c r="E47" s="97">
        <v>44</v>
      </c>
      <c r="F47" s="98" t="s">
        <v>22</v>
      </c>
      <c r="G47" s="94" t="s">
        <v>34</v>
      </c>
    </row>
    <row r="48" x14ac:dyDescent="0.25">
      <c r="E48" s="97">
        <v>45</v>
      </c>
      <c r="F48" s="98" t="s">
        <v>16</v>
      </c>
      <c r="G48" s="94" t="s">
        <v>35</v>
      </c>
    </row>
    <row r="49" x14ac:dyDescent="0.25">
      <c r="E49" s="97">
        <v>46</v>
      </c>
      <c r="F49" s="98" t="s">
        <v>17</v>
      </c>
      <c r="G49" s="94" t="s">
        <v>36</v>
      </c>
    </row>
    <row r="50" x14ac:dyDescent="0.25">
      <c r="E50" s="97">
        <v>47</v>
      </c>
      <c r="F50" s="98" t="s">
        <v>18</v>
      </c>
      <c r="G50" s="94" t="s">
        <v>98</v>
      </c>
    </row>
    <row r="51" x14ac:dyDescent="0.25">
      <c r="E51" s="97">
        <v>48</v>
      </c>
      <c r="F51" s="98"/>
      <c r="G51" s="94"/>
    </row>
    <row r="52" x14ac:dyDescent="0.25">
      <c r="E52" s="97">
        <v>49</v>
      </c>
      <c r="F52" s="98"/>
      <c r="G52" s="94"/>
    </row>
    <row r="53" x14ac:dyDescent="0.25">
      <c r="E53" s="97">
        <v>50</v>
      </c>
      <c r="F53" s="98"/>
      <c r="G53" s="94"/>
    </row>
    <row r="54" x14ac:dyDescent="0.25">
      <c r="E54" s="97">
        <v>51</v>
      </c>
      <c r="F54" s="98"/>
      <c r="G54" s="94"/>
    </row>
    <row r="55" x14ac:dyDescent="0.25">
      <c r="E55" s="97">
        <v>52</v>
      </c>
      <c r="F55" s="98"/>
      <c r="G55" s="94"/>
    </row>
    <row r="56" x14ac:dyDescent="0.25">
      <c r="E56" s="97">
        <v>53</v>
      </c>
      <c r="F56" s="98"/>
      <c r="G56" s="94"/>
    </row>
    <row r="57" x14ac:dyDescent="0.25">
      <c r="E57" s="97">
        <v>54</v>
      </c>
      <c r="F57" s="98"/>
      <c r="G57" s="94"/>
    </row>
    <row r="58" x14ac:dyDescent="0.25">
      <c r="E58" s="97">
        <v>55</v>
      </c>
      <c r="F58" s="98"/>
      <c r="G58" s="94"/>
    </row>
    <row r="59" x14ac:dyDescent="0.25">
      <c r="E59" s="97">
        <v>56</v>
      </c>
      <c r="F59" s="98"/>
      <c r="G59" s="94"/>
    </row>
    <row r="60" x14ac:dyDescent="0.25">
      <c r="E60" s="97">
        <v>57</v>
      </c>
      <c r="F60" s="98"/>
      <c r="G60" s="94"/>
    </row>
    <row r="61" x14ac:dyDescent="0.25">
      <c r="E61" s="97">
        <v>58</v>
      </c>
      <c r="F61" s="98"/>
      <c r="G61" s="94"/>
    </row>
    <row r="62" x14ac:dyDescent="0.25">
      <c r="E62" s="97">
        <v>59</v>
      </c>
      <c r="F62" s="98"/>
      <c r="G62" s="94"/>
    </row>
    <row r="63" x14ac:dyDescent="0.25">
      <c r="E63" s="97">
        <v>60</v>
      </c>
      <c r="F63" s="98"/>
      <c r="G63" s="94"/>
    </row>
    <row r="64" x14ac:dyDescent="0.25">
      <c r="E64" s="97">
        <v>61</v>
      </c>
      <c r="F64" s="98"/>
      <c r="G64" s="94"/>
    </row>
    <row r="65" x14ac:dyDescent="0.25">
      <c r="E65" s="97">
        <v>62</v>
      </c>
      <c r="F65" s="98"/>
      <c r="G65" s="94"/>
    </row>
    <row r="66" x14ac:dyDescent="0.25">
      <c r="E66" s="97">
        <v>63</v>
      </c>
      <c r="F66" s="98"/>
      <c r="G66" s="94"/>
    </row>
    <row r="67" x14ac:dyDescent="0.25">
      <c r="E67" s="97">
        <v>64</v>
      </c>
      <c r="F67" s="98"/>
      <c r="G67" s="94"/>
    </row>
    <row r="68" x14ac:dyDescent="0.25">
      <c r="E68" s="97">
        <v>65</v>
      </c>
      <c r="F68" s="98"/>
      <c r="G68" s="94"/>
    </row>
    <row r="69" x14ac:dyDescent="0.25">
      <c r="E69" s="97">
        <v>66</v>
      </c>
      <c r="F69" s="98"/>
      <c r="G69" s="94"/>
    </row>
    <row r="70" x14ac:dyDescent="0.25">
      <c r="E70" s="97">
        <v>67</v>
      </c>
      <c r="F70" s="98"/>
      <c r="G70" s="94"/>
    </row>
    <row r="71" x14ac:dyDescent="0.25">
      <c r="E71" s="97">
        <v>68</v>
      </c>
      <c r="F71" s="98"/>
      <c r="G71" s="94"/>
    </row>
    <row r="72" x14ac:dyDescent="0.25">
      <c r="E72" s="97">
        <v>69</v>
      </c>
      <c r="F72" s="98"/>
      <c r="G72" s="94"/>
    </row>
    <row r="73" x14ac:dyDescent="0.25">
      <c r="E73" s="97">
        <v>70</v>
      </c>
      <c r="F73" s="98"/>
      <c r="G73" s="94"/>
    </row>
    <row r="74" x14ac:dyDescent="0.25">
      <c r="E74" s="97">
        <v>71</v>
      </c>
      <c r="F74" s="98"/>
      <c r="G74" s="94"/>
    </row>
    <row r="75" x14ac:dyDescent="0.25">
      <c r="E75" s="97">
        <v>72</v>
      </c>
      <c r="F75" s="98"/>
      <c r="G75" s="94"/>
    </row>
    <row r="76" x14ac:dyDescent="0.25">
      <c r="E76" s="97">
        <v>73</v>
      </c>
      <c r="F76" s="98"/>
      <c r="G76" s="94"/>
    </row>
    <row r="77" x14ac:dyDescent="0.25">
      <c r="E77" s="97">
        <v>74</v>
      </c>
      <c r="F77" s="98"/>
      <c r="G77" s="94"/>
    </row>
    <row r="78" x14ac:dyDescent="0.25">
      <c r="E78" s="106">
        <v>75</v>
      </c>
      <c r="F78" s="98"/>
      <c r="G78" s="94"/>
    </row>
    <row r="79" x14ac:dyDescent="0.25">
      <c r="F79" s="98"/>
      <c r="G79" s="94"/>
    </row>
    <row r="80" x14ac:dyDescent="0.25">
      <c r="F80" s="98"/>
      <c r="G80" s="94"/>
    </row>
    <row r="81" x14ac:dyDescent="0.25">
      <c r="F81" s="98"/>
      <c r="G81" s="94"/>
    </row>
    <row r="82" x14ac:dyDescent="0.25">
      <c r="F82" s="98"/>
      <c r="G82" s="94"/>
    </row>
    <row r="83" x14ac:dyDescent="0.25">
      <c r="F83" s="98"/>
      <c r="G83" s="94"/>
    </row>
    <row r="84" x14ac:dyDescent="0.25">
      <c r="F84" s="98"/>
      <c r="G84" s="94"/>
    </row>
    <row r="85" x14ac:dyDescent="0.25">
      <c r="F85" s="98"/>
      <c r="G85" s="94"/>
    </row>
    <row r="86" x14ac:dyDescent="0.25">
      <c r="F86" s="98"/>
      <c r="G86" s="94"/>
    </row>
    <row r="87" x14ac:dyDescent="0.25">
      <c r="F87" s="98"/>
      <c r="G87" s="94"/>
    </row>
    <row r="88" x14ac:dyDescent="0.25">
      <c r="F88" s="98"/>
      <c r="G88" s="94"/>
    </row>
    <row r="89" x14ac:dyDescent="0.25">
      <c r="F89" s="98"/>
      <c r="G89" s="94"/>
    </row>
    <row r="90" x14ac:dyDescent="0.25">
      <c r="F90" s="98"/>
      <c r="G90" s="94"/>
    </row>
    <row r="91" x14ac:dyDescent="0.25">
      <c r="F91" s="105"/>
      <c r="G91" s="107"/>
    </row>
  </sheetData>
  <mergeCells count="4">
    <mergeCell ref="I2:J2"/>
    <mergeCell ref="B3:C3"/>
    <mergeCell ref="E2:G2"/>
    <mergeCell ref="A2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rSheet">
                <anchor moveWithCells="1" sizeWithCells="1">
                  <from>
                    <xdr:col>1</xdr:col>
                    <xdr:colOff>304800</xdr:colOff>
                    <xdr:row>7</xdr:row>
                    <xdr:rowOff>133350</xdr:rowOff>
                  </from>
                  <to>
                    <xdr:col>2</xdr:col>
                    <xdr:colOff>447675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Drop Down 3">
              <controlPr defaultSize="0" autoLine="0" autoPict="0" macro="[0]!NewNamedRanges">
                <anchor moveWithCells="1">
                  <from>
                    <xdr:col>2</xdr:col>
                    <xdr:colOff>38100</xdr:colOff>
                    <xdr:row>4</xdr:row>
                    <xdr:rowOff>9525</xdr:rowOff>
                  </from>
                  <to>
                    <xdr:col>2</xdr:col>
                    <xdr:colOff>1019175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/>
  </sheetPr>
  <dimension ref="A1:AW35"/>
  <sheetViews>
    <sheetView zoomScale="90" zoomScaleNormal="90" workbookViewId="0">
      <selection activeCell="A27" sqref="A27"/>
    </sheetView>
  </sheetViews>
  <sheetFormatPr defaultRowHeight="15" x14ac:dyDescent="0.25"/>
  <cols>
    <col min="1" max="1" width="16.5703125" customWidth="true"/>
    <col min="2" max="2" width="9.28515625" bestFit="true" customWidth="true"/>
    <col min="3" max="3" width="9.28515625" customWidth="true"/>
    <col min="4" max="5" width="9.28515625" bestFit="true" customWidth="true"/>
    <col min="6" max="8" width="9.85546875" customWidth="true"/>
    <col min="9" max="10" width="9.28515625" bestFit="true" customWidth="true"/>
    <col min="11" max="12" width="9.85546875" customWidth="true"/>
    <col min="13" max="13" width="9.28515625" bestFit="true" customWidth="true"/>
    <col min="14" max="16" width="9.7109375" customWidth="true"/>
    <col min="17" max="22" width="9.28515625" bestFit="true" customWidth="true"/>
    <col min="23" max="23" width="9.28515625" customWidth="true"/>
    <col min="24" max="25" width="9.28515625" bestFit="true" customWidth="true"/>
    <col min="26" max="27" width="9.28515625" customWidth="true"/>
    <col min="28" max="30" width="9.28515625" bestFit="true" customWidth="true"/>
    <col min="31" max="34" width="9.28515625" customWidth="true"/>
    <col min="35" max="37" width="9.28515625" bestFit="true" customWidth="true"/>
    <col min="38" max="38" width="10.5703125" bestFit="true" customWidth="true"/>
    <col min="39" max="40" width="9.28515625" bestFit="true" customWidth="true"/>
    <col min="41" max="41" width="10.5703125" bestFit="true" customWidth="true"/>
    <col min="42" max="42" width="9.28515625" bestFit="true" customWidth="true"/>
    <col min="43" max="43" width="10" customWidth="true"/>
    <col min="44" max="44" width="10.85546875" customWidth="true"/>
    <col min="45" max="45" width="9.28515625" bestFit="true" customWidth="true"/>
    <col min="46" max="46" width="28.28515625" customWidth="true"/>
    <col min="47" max="47" width="19.28515625" customWidth="true"/>
    <col min="48" max="48" width="18.85546875" customWidth="true"/>
  </cols>
  <sheetData>
    <row r="1" ht="18.75" x14ac:dyDescent="0.3">
      <c r="A1" s="36"/>
      <c r="B1" s="113" t="s">
        <v>56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60"/>
      <c r="AA1" s="60"/>
      <c r="AB1" s="114" t="s">
        <v>56</v>
      </c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5"/>
    </row>
    <row r="2" x14ac:dyDescent="0.25">
      <c r="A2" s="4"/>
      <c r="B2" s="117" t="s">
        <v>7</v>
      </c>
      <c r="C2" s="117"/>
      <c r="D2" s="116"/>
      <c r="E2" s="118"/>
      <c r="F2" s="116" t="s">
        <v>6</v>
      </c>
      <c r="G2" s="116"/>
      <c r="H2" s="116"/>
      <c r="I2" s="116"/>
      <c r="J2" s="116"/>
      <c r="K2" s="117" t="s">
        <v>5</v>
      </c>
      <c r="L2" s="119"/>
      <c r="M2" s="118"/>
      <c r="N2" s="116" t="s">
        <v>4</v>
      </c>
      <c r="O2" s="116"/>
      <c r="P2" s="116"/>
      <c r="Q2" s="116"/>
      <c r="R2" s="116"/>
      <c r="S2" s="117" t="s">
        <v>8</v>
      </c>
      <c r="T2" s="116"/>
      <c r="U2" s="118"/>
      <c r="V2" s="116" t="s">
        <v>9</v>
      </c>
      <c r="W2" s="116"/>
      <c r="X2" s="116"/>
      <c r="Y2" s="117" t="s">
        <v>10</v>
      </c>
      <c r="Z2" s="117"/>
      <c r="AA2" s="117"/>
      <c r="AB2" s="116"/>
      <c r="AC2" s="118"/>
      <c r="AD2" s="116" t="s">
        <v>11</v>
      </c>
      <c r="AE2" s="116"/>
      <c r="AF2" s="116"/>
      <c r="AG2" s="116"/>
      <c r="AH2" s="116"/>
      <c r="AI2" s="116"/>
      <c r="AJ2" s="116"/>
      <c r="AK2" s="117" t="s">
        <v>12</v>
      </c>
      <c r="AL2" s="116"/>
      <c r="AM2" s="118"/>
      <c r="AN2" s="116" t="s">
        <v>14</v>
      </c>
      <c r="AO2" s="116"/>
      <c r="AP2" s="116"/>
      <c r="AQ2" s="117" t="s">
        <v>15</v>
      </c>
      <c r="AR2" s="116"/>
      <c r="AS2" s="118"/>
      <c r="AT2" s="18" t="s">
        <v>16</v>
      </c>
      <c r="AU2" s="2" t="s">
        <v>17</v>
      </c>
      <c r="AV2" s="18" t="s">
        <v>18</v>
      </c>
    </row>
    <row r="3" x14ac:dyDescent="0.25">
      <c r="A3" s="5"/>
      <c r="B3" s="20" t="s">
        <v>1</v>
      </c>
      <c r="C3" s="20" t="s">
        <v>134</v>
      </c>
      <c r="D3" s="20" t="s">
        <v>2</v>
      </c>
      <c r="E3" s="20" t="s">
        <v>3</v>
      </c>
      <c r="F3" s="19" t="s">
        <v>1</v>
      </c>
      <c r="G3" s="20" t="s">
        <v>134</v>
      </c>
      <c r="H3" s="20" t="s">
        <v>135</v>
      </c>
      <c r="I3" s="20" t="s">
        <v>2</v>
      </c>
      <c r="J3" s="21" t="s">
        <v>3</v>
      </c>
      <c r="K3" s="20" t="s">
        <v>1</v>
      </c>
      <c r="L3" s="20" t="s">
        <v>134</v>
      </c>
      <c r="M3" s="20" t="s">
        <v>2</v>
      </c>
      <c r="N3" s="19" t="s">
        <v>1</v>
      </c>
      <c r="O3" s="20" t="s">
        <v>134</v>
      </c>
      <c r="P3" s="20" t="s">
        <v>135</v>
      </c>
      <c r="Q3" s="20" t="s">
        <v>2</v>
      </c>
      <c r="R3" s="21" t="s">
        <v>3</v>
      </c>
      <c r="S3" s="20" t="s">
        <v>1</v>
      </c>
      <c r="T3" s="20" t="s">
        <v>2</v>
      </c>
      <c r="U3" s="20" t="s">
        <v>3</v>
      </c>
      <c r="V3" s="19" t="s">
        <v>1</v>
      </c>
      <c r="W3" s="20" t="s">
        <v>134</v>
      </c>
      <c r="X3" s="21" t="s">
        <v>2</v>
      </c>
      <c r="Y3" s="20" t="s">
        <v>1</v>
      </c>
      <c r="Z3" s="20" t="s">
        <v>134</v>
      </c>
      <c r="AA3" s="20" t="s">
        <v>135</v>
      </c>
      <c r="AB3" s="20" t="s">
        <v>2</v>
      </c>
      <c r="AC3" s="20" t="s">
        <v>3</v>
      </c>
      <c r="AD3" s="19" t="s">
        <v>1</v>
      </c>
      <c r="AE3" s="20" t="s">
        <v>136</v>
      </c>
      <c r="AF3" s="20" t="s">
        <v>134</v>
      </c>
      <c r="AG3" s="20" t="s">
        <v>135</v>
      </c>
      <c r="AH3" s="20" t="s">
        <v>137</v>
      </c>
      <c r="AI3" s="20" t="s">
        <v>2</v>
      </c>
      <c r="AJ3" s="21" t="s">
        <v>3</v>
      </c>
      <c r="AK3" s="20" t="s">
        <v>1</v>
      </c>
      <c r="AL3" s="20" t="s">
        <v>2</v>
      </c>
      <c r="AM3" s="20" t="s">
        <v>13</v>
      </c>
      <c r="AN3" s="19" t="s">
        <v>1</v>
      </c>
      <c r="AO3" s="20" t="s">
        <v>2</v>
      </c>
      <c r="AP3" s="21" t="s">
        <v>13</v>
      </c>
      <c r="AQ3" s="20" t="s">
        <v>1</v>
      </c>
      <c r="AR3" s="20" t="s">
        <v>2</v>
      </c>
      <c r="AS3" s="20" t="s">
        <v>13</v>
      </c>
      <c r="AT3" s="22" t="s">
        <v>19</v>
      </c>
      <c r="AU3" s="20" t="s">
        <v>19</v>
      </c>
      <c r="AV3" s="22" t="s">
        <v>19</v>
      </c>
    </row>
    <row r="4" ht="14.45" customHeight="true" x14ac:dyDescent="0.25">
      <c r="A4" s="23">
        <f>RunInformation!AD5</f>
        <v>44043</v>
      </c>
      <c r="B4" s="71">
        <v>6503.7611062335891</v>
      </c>
      <c r="C4" s="71">
        <v>138.00000000000003</v>
      </c>
      <c r="D4" s="71">
        <v>117.21999999999998</v>
      </c>
      <c r="E4" s="71">
        <v>16.298869429958728</v>
      </c>
      <c r="F4" s="70">
        <v>6028.6884883858202</v>
      </c>
      <c r="G4" s="71">
        <v>129.22000000008421</v>
      </c>
      <c r="H4" s="71">
        <v>149.99999999999997</v>
      </c>
      <c r="I4" s="71">
        <v>79.040000000000049</v>
      </c>
      <c r="J4" s="72">
        <v>0</v>
      </c>
      <c r="K4" s="71">
        <v>9316.7186774278125</v>
      </c>
      <c r="L4" s="71">
        <v>10.000000000000018</v>
      </c>
      <c r="M4" s="71">
        <v>21.519999999999982</v>
      </c>
      <c r="N4" s="70">
        <v>7486.0261948490734</v>
      </c>
      <c r="O4" s="71">
        <v>58.52000000008848</v>
      </c>
      <c r="P4" s="71">
        <v>46.999999999999979</v>
      </c>
      <c r="Q4" s="71">
        <v>100.5100000000002</v>
      </c>
      <c r="R4" s="72">
        <v>0</v>
      </c>
      <c r="S4" s="71">
        <v>6749.6333542978937</v>
      </c>
      <c r="T4" s="71">
        <v>1779.7408602142139</v>
      </c>
      <c r="U4" s="71">
        <v>0</v>
      </c>
      <c r="V4" s="70">
        <v>7648.6692079068162</v>
      </c>
      <c r="W4" s="71">
        <v>12.000000000000009</v>
      </c>
      <c r="X4" s="72">
        <v>41.330000000000013</v>
      </c>
      <c r="Y4" s="71">
        <v>6055.0908928805711</v>
      </c>
      <c r="Z4" s="71">
        <v>37.329999999898817</v>
      </c>
      <c r="AA4" s="71">
        <v>8.0000000000000266</v>
      </c>
      <c r="AB4" s="78">
        <v>43.679999999999986</v>
      </c>
      <c r="AC4" s="71">
        <v>0</v>
      </c>
      <c r="AD4" s="70">
        <v>3608.1780904527518</v>
      </c>
      <c r="AE4" s="71">
        <v>12547.795029939969</v>
      </c>
      <c r="AF4" s="71">
        <v>538.91500000049882</v>
      </c>
      <c r="AG4" s="71">
        <v>461.00000000000017</v>
      </c>
      <c r="AH4" s="71">
        <v>53.538159631520166</v>
      </c>
      <c r="AI4" s="71">
        <v>749.99999999999989</v>
      </c>
      <c r="AJ4" s="72">
        <v>0</v>
      </c>
      <c r="AK4" s="71">
        <v>1085.2514934580042</v>
      </c>
      <c r="AL4" s="71">
        <v>890328.645587123</v>
      </c>
      <c r="AM4" s="71">
        <v>354.36349982899998</v>
      </c>
      <c r="AN4" s="70">
        <v>642.50124642716469</v>
      </c>
      <c r="AO4" s="71">
        <v>875987.07706154534</v>
      </c>
      <c r="AP4" s="72">
        <v>110.043719065</v>
      </c>
      <c r="AQ4" s="71">
        <v>447.99999999999949</v>
      </c>
      <c r="AR4" s="71">
        <v>710981.99999972072</v>
      </c>
      <c r="AS4" s="71">
        <v>46875.458960900003</v>
      </c>
      <c r="AT4" s="73">
        <v>29427.699326569946</v>
      </c>
      <c r="AU4" s="71">
        <v>98761.999999945183</v>
      </c>
      <c r="AV4" s="73">
        <v>51999.999999929911</v>
      </c>
      <c r="AW4" s="40"/>
    </row>
    <row r="5" ht="14.45" customHeight="true" x14ac:dyDescent="0.25">
      <c r="A5" s="23">
        <f>EOMONTH(A4,1)</f>
        <v>44074</v>
      </c>
      <c r="B5" s="75">
        <v>6502.5427463254528</v>
      </c>
      <c r="C5" s="75">
        <v>59.999999999999993</v>
      </c>
      <c r="D5" s="75">
        <v>67.239999999999924</v>
      </c>
      <c r="E5" s="75">
        <v>0</v>
      </c>
      <c r="F5" s="74">
        <v>6027.5842495078678</v>
      </c>
      <c r="G5" s="75">
        <v>72.23999999990663</v>
      </c>
      <c r="H5" s="75">
        <v>65.000000000000028</v>
      </c>
      <c r="I5" s="75">
        <v>103.27999999999986</v>
      </c>
      <c r="J5" s="76">
        <v>0</v>
      </c>
      <c r="K5" s="75">
        <v>9309.4059699146892</v>
      </c>
      <c r="L5" s="75">
        <v>7.0000000000000311</v>
      </c>
      <c r="M5" s="75">
        <v>19.140000000000033</v>
      </c>
      <c r="N5" s="74">
        <v>7481.6096743438238</v>
      </c>
      <c r="O5" s="75">
        <v>49.139999999940279</v>
      </c>
      <c r="P5" s="75">
        <v>37.000000000000021</v>
      </c>
      <c r="Q5" s="75">
        <v>81.160000000000309</v>
      </c>
      <c r="R5" s="76">
        <v>17.695569379651783</v>
      </c>
      <c r="S5" s="75">
        <v>6749.6333542978937</v>
      </c>
      <c r="T5" s="75">
        <v>1450.0483870969022</v>
      </c>
      <c r="U5" s="75">
        <v>0</v>
      </c>
      <c r="V5" s="74">
        <v>7636.8257228674465</v>
      </c>
      <c r="W5" s="75">
        <v>12.000000000000009</v>
      </c>
      <c r="X5" s="76">
        <v>37.69</v>
      </c>
      <c r="Y5" s="75">
        <v>6051.3195725393634</v>
      </c>
      <c r="Z5" s="75">
        <v>41.286000000003824</v>
      </c>
      <c r="AA5" s="75">
        <v>15.999999999999993</v>
      </c>
      <c r="AB5" s="79">
        <v>35.600000000000037</v>
      </c>
      <c r="AC5" s="75">
        <v>0</v>
      </c>
      <c r="AD5" s="74">
        <v>3604.0737932742745</v>
      </c>
      <c r="AE5" s="75">
        <v>12143.039141363079</v>
      </c>
      <c r="AF5" s="75">
        <v>450.18499999971885</v>
      </c>
      <c r="AG5" s="75">
        <v>299.99999999999994</v>
      </c>
      <c r="AH5" s="75">
        <v>52.321360586400729</v>
      </c>
      <c r="AI5" s="75">
        <v>835.00000000000091</v>
      </c>
      <c r="AJ5" s="76">
        <v>0</v>
      </c>
      <c r="AK5" s="75">
        <v>1085.2599523720462</v>
      </c>
      <c r="AL5" s="75">
        <v>822918.01934831275</v>
      </c>
      <c r="AM5" s="75">
        <v>324.54990503800002</v>
      </c>
      <c r="AN5" s="74">
        <v>642.50124642716469</v>
      </c>
      <c r="AO5" s="75">
        <v>787958.75374446786</v>
      </c>
      <c r="AP5" s="76">
        <v>99.062489514800006</v>
      </c>
      <c r="AQ5" s="75">
        <v>447.99999999999949</v>
      </c>
      <c r="AR5" s="75">
        <v>626359.00000090373</v>
      </c>
      <c r="AS5" s="75">
        <v>41171.058276199998</v>
      </c>
      <c r="AT5" s="77">
        <v>29976.69932660614</v>
      </c>
      <c r="AU5" s="75">
        <v>98761.999999945183</v>
      </c>
      <c r="AV5" s="77">
        <v>51999.999999929911</v>
      </c>
      <c r="AW5" s="78"/>
    </row>
    <row r="6" ht="14.45" customHeight="true" x14ac:dyDescent="0.25">
      <c r="A6" s="23">
        <f t="shared" ref="A6:A35" si="0">EOMONTH(A5,1)</f>
        <v>44104</v>
      </c>
      <c r="B6" s="75">
        <v>6499.3570697506493</v>
      </c>
      <c r="C6" s="75">
        <v>40.000000000000007</v>
      </c>
      <c r="D6" s="75">
        <v>62.479999999999869</v>
      </c>
      <c r="E6" s="75">
        <v>0</v>
      </c>
      <c r="F6" s="74">
        <v>6026.4114436023556</v>
      </c>
      <c r="G6" s="75">
        <v>70.479999999981445</v>
      </c>
      <c r="H6" s="75">
        <v>48.000000000000021</v>
      </c>
      <c r="I6" s="75">
        <v>105.31999999999982</v>
      </c>
      <c r="J6" s="76">
        <v>0</v>
      </c>
      <c r="K6" s="75">
        <v>9300.7691375327995</v>
      </c>
      <c r="L6" s="75">
        <v>5.0000000000000018</v>
      </c>
      <c r="M6" s="75">
        <v>17.749999999999975</v>
      </c>
      <c r="N6" s="74">
        <v>7477.1396823490741</v>
      </c>
      <c r="O6" s="75">
        <v>42.749999999915914</v>
      </c>
      <c r="P6" s="75">
        <v>29.999999999999989</v>
      </c>
      <c r="Q6" s="75">
        <v>74.330000000000254</v>
      </c>
      <c r="R6" s="76">
        <v>0</v>
      </c>
      <c r="S6" s="75">
        <v>6749.6333542978937</v>
      </c>
      <c r="T6" s="75">
        <v>1349.9902777769023</v>
      </c>
      <c r="U6" s="75">
        <v>0</v>
      </c>
      <c r="V6" s="74">
        <v>7626.7360136810948</v>
      </c>
      <c r="W6" s="75">
        <v>10.999999999999984</v>
      </c>
      <c r="X6" s="76">
        <v>29.249999999999968</v>
      </c>
      <c r="Y6" s="75">
        <v>6049.9723160104922</v>
      </c>
      <c r="Z6" s="75">
        <v>41.187000000061488</v>
      </c>
      <c r="AA6" s="75">
        <v>22.999999999999993</v>
      </c>
      <c r="AB6" s="79">
        <v>28.660000000000014</v>
      </c>
      <c r="AC6" s="75">
        <v>0</v>
      </c>
      <c r="AD6" s="74">
        <v>3602.0298505905475</v>
      </c>
      <c r="AE6" s="75">
        <v>11944.780791579653</v>
      </c>
      <c r="AF6" s="75">
        <v>433.23899999916779</v>
      </c>
      <c r="AG6" s="75">
        <v>299.99999999999994</v>
      </c>
      <c r="AH6" s="75">
        <v>47.378012619540137</v>
      </c>
      <c r="AI6" s="75">
        <v>599.97999999999797</v>
      </c>
      <c r="AJ6" s="76">
        <v>0</v>
      </c>
      <c r="AK6" s="75">
        <v>1083.6798558923874</v>
      </c>
      <c r="AL6" s="75">
        <v>732207.8903372623</v>
      </c>
      <c r="AM6" s="75">
        <v>287.39570315900005</v>
      </c>
      <c r="AN6" s="74">
        <v>640.00753110564244</v>
      </c>
      <c r="AO6" s="75">
        <v>766884.68056972825</v>
      </c>
      <c r="AP6" s="76">
        <v>95.531408560800003</v>
      </c>
      <c r="AQ6" s="75">
        <v>447.49999999999949</v>
      </c>
      <c r="AR6" s="75">
        <v>532454.00000078499</v>
      </c>
      <c r="AS6" s="75">
        <v>34745.903195400002</v>
      </c>
      <c r="AT6" s="77">
        <v>25363.699326649461</v>
      </c>
      <c r="AU6" s="75">
        <v>95803.000000076237</v>
      </c>
      <c r="AV6" s="77">
        <v>139999.99999999988</v>
      </c>
      <c r="AW6" s="78"/>
    </row>
    <row r="7" ht="14.45" customHeight="true" x14ac:dyDescent="0.25">
      <c r="A7" s="23">
        <f t="shared" si="0"/>
        <v>44135</v>
      </c>
      <c r="B7" s="75">
        <v>6496.5282485564239</v>
      </c>
      <c r="C7" s="75">
        <v>44.999999999999993</v>
      </c>
      <c r="D7" s="75">
        <v>64.560000000000301</v>
      </c>
      <c r="E7" s="75">
        <v>40.466557375792888</v>
      </c>
      <c r="F7" s="74">
        <v>6026.1742409776834</v>
      </c>
      <c r="G7" s="75">
        <v>74.559999999992357</v>
      </c>
      <c r="H7" s="75">
        <v>55.000000000000014</v>
      </c>
      <c r="I7" s="75">
        <v>76.599999999999739</v>
      </c>
      <c r="J7" s="76">
        <v>0</v>
      </c>
      <c r="K7" s="75">
        <v>9299.0816453740063</v>
      </c>
      <c r="L7" s="75">
        <v>5.0000000000000027</v>
      </c>
      <c r="M7" s="75">
        <v>7.2900000000000071</v>
      </c>
      <c r="N7" s="74">
        <v>7471.6987770013038</v>
      </c>
      <c r="O7" s="75">
        <v>31.290000000064978</v>
      </c>
      <c r="P7" s="75">
        <v>28.999999999999996</v>
      </c>
      <c r="Q7" s="75">
        <v>68.860000000000014</v>
      </c>
      <c r="R7" s="76">
        <v>0</v>
      </c>
      <c r="S7" s="75">
        <v>6749.6333542978937</v>
      </c>
      <c r="T7" s="75">
        <v>1250.0080645173277</v>
      </c>
      <c r="U7" s="75">
        <v>0</v>
      </c>
      <c r="V7" s="74">
        <v>7622.4790995078665</v>
      </c>
      <c r="W7" s="75">
        <v>10.000000000000018</v>
      </c>
      <c r="X7" s="76">
        <v>16.450000000000006</v>
      </c>
      <c r="Y7" s="75">
        <v>6050.2701908464505</v>
      </c>
      <c r="Z7" s="75">
        <v>36.195000000078707</v>
      </c>
      <c r="AA7" s="75">
        <v>29.999999999999996</v>
      </c>
      <c r="AB7" s="79">
        <v>21.919999999999973</v>
      </c>
      <c r="AC7" s="75">
        <v>0</v>
      </c>
      <c r="AD7" s="74">
        <v>3600.1030789041956</v>
      </c>
      <c r="AE7" s="75">
        <v>11759.915889674507</v>
      </c>
      <c r="AF7" s="75">
        <v>472.78700000105016</v>
      </c>
      <c r="AG7" s="75">
        <v>410.00000000000011</v>
      </c>
      <c r="AH7" s="75">
        <v>32.441089507374585</v>
      </c>
      <c r="AI7" s="75">
        <v>639.99999999999716</v>
      </c>
      <c r="AJ7" s="76">
        <v>0</v>
      </c>
      <c r="AK7" s="75">
        <v>1084.5267326541982</v>
      </c>
      <c r="AL7" s="75">
        <v>571758.33984182903</v>
      </c>
      <c r="AM7" s="75">
        <v>222.14032725300001</v>
      </c>
      <c r="AN7" s="74">
        <v>632.99732935367388</v>
      </c>
      <c r="AO7" s="75">
        <v>729827.32439542341</v>
      </c>
      <c r="AP7" s="76">
        <v>88.045328181300007</v>
      </c>
      <c r="AQ7" s="75">
        <v>447.49999999999949</v>
      </c>
      <c r="AR7" s="75">
        <v>458607.00001915166</v>
      </c>
      <c r="AS7" s="75">
        <v>30217.101743499999</v>
      </c>
      <c r="AT7" s="77">
        <v>24124.699326640723</v>
      </c>
      <c r="AU7" s="75">
        <v>98995.999999910768</v>
      </c>
      <c r="AV7" s="77">
        <v>177999.99999994383</v>
      </c>
      <c r="AW7" s="78"/>
    </row>
    <row r="8" ht="14.45" customHeight="true" x14ac:dyDescent="0.25">
      <c r="A8" s="23">
        <f t="shared" si="0"/>
        <v>44165</v>
      </c>
      <c r="B8" s="75">
        <v>6492.6152354658725</v>
      </c>
      <c r="C8" s="75">
        <v>40.000000000000007</v>
      </c>
      <c r="D8" s="75">
        <v>66.94</v>
      </c>
      <c r="E8" s="75">
        <v>0</v>
      </c>
      <c r="F8" s="74">
        <v>6026.2875588910692</v>
      </c>
      <c r="G8" s="75">
        <v>76.939999999986483</v>
      </c>
      <c r="H8" s="75">
        <v>50.000000000000021</v>
      </c>
      <c r="I8" s="75">
        <v>69.139999999999873</v>
      </c>
      <c r="J8" s="76">
        <v>0</v>
      </c>
      <c r="K8" s="75">
        <v>9298.2898615157392</v>
      </c>
      <c r="L8" s="75">
        <v>4.0000000000000009</v>
      </c>
      <c r="M8" s="75">
        <v>5.0499999999999972</v>
      </c>
      <c r="N8" s="74">
        <v>7472.7502609251897</v>
      </c>
      <c r="O8" s="75">
        <v>25.049999999941143</v>
      </c>
      <c r="P8" s="75">
        <v>24.000000000000011</v>
      </c>
      <c r="Q8" s="75">
        <v>17.61999999999999</v>
      </c>
      <c r="R8" s="76">
        <v>0</v>
      </c>
      <c r="S8" s="75">
        <v>6749.6333542978937</v>
      </c>
      <c r="T8" s="75">
        <v>396.94722222267438</v>
      </c>
      <c r="U8" s="75">
        <v>0</v>
      </c>
      <c r="V8" s="74">
        <v>7625.4089110236137</v>
      </c>
      <c r="W8" s="75">
        <v>6.9999999999999991</v>
      </c>
      <c r="X8" s="76">
        <v>2.4799999999999986</v>
      </c>
      <c r="Y8" s="75">
        <v>6050.3338221128552</v>
      </c>
      <c r="Z8" s="75">
        <v>22.469999999909202</v>
      </c>
      <c r="AA8" s="75">
        <v>26.999999999999972</v>
      </c>
      <c r="AB8" s="79">
        <v>20.830000000000027</v>
      </c>
      <c r="AC8" s="75">
        <v>0</v>
      </c>
      <c r="AD8" s="74">
        <v>3597.7672775262427</v>
      </c>
      <c r="AE8" s="75">
        <v>11538.32366595482</v>
      </c>
      <c r="AF8" s="75">
        <v>431.65100000049858</v>
      </c>
      <c r="AG8" s="75">
        <v>425.00000000000011</v>
      </c>
      <c r="AH8" s="75">
        <v>30.970596184743787</v>
      </c>
      <c r="AI8" s="75">
        <v>640.00000000000193</v>
      </c>
      <c r="AJ8" s="76">
        <v>0</v>
      </c>
      <c r="AK8" s="75">
        <v>1083.7590032841194</v>
      </c>
      <c r="AL8" s="75">
        <v>718069.9258746861</v>
      </c>
      <c r="AM8" s="75">
        <v>283.85957250200005</v>
      </c>
      <c r="AN8" s="74">
        <v>634.99500232283401</v>
      </c>
      <c r="AO8" s="75">
        <v>637909.17219776078</v>
      </c>
      <c r="AP8" s="76">
        <v>75.774485468400002</v>
      </c>
      <c r="AQ8" s="75">
        <v>447.49999999999949</v>
      </c>
      <c r="AR8" s="75">
        <v>360563.0000016613</v>
      </c>
      <c r="AS8" s="75">
        <v>23453.004925400001</v>
      </c>
      <c r="AT8" s="77">
        <v>16155.699326671491</v>
      </c>
      <c r="AU8" s="75">
        <v>95802.796544938145</v>
      </c>
      <c r="AV8" s="77">
        <v>183853.63836957244</v>
      </c>
      <c r="AW8" s="78"/>
    </row>
    <row r="9" ht="14.45" customHeight="true" x14ac:dyDescent="0.25">
      <c r="A9" s="23">
        <f t="shared" si="0"/>
        <v>44196</v>
      </c>
      <c r="B9" s="75">
        <v>6486.8861481955319</v>
      </c>
      <c r="C9" s="75">
        <v>31.999999999999986</v>
      </c>
      <c r="D9" s="75">
        <v>69.170000000000215</v>
      </c>
      <c r="E9" s="75">
        <v>0</v>
      </c>
      <c r="F9" s="74">
        <v>6025.72579393044</v>
      </c>
      <c r="G9" s="75">
        <v>72.170000000108089</v>
      </c>
      <c r="H9" s="75">
        <v>35.000000000000028</v>
      </c>
      <c r="I9" s="75">
        <v>92.230000000000246</v>
      </c>
      <c r="J9" s="76">
        <v>0</v>
      </c>
      <c r="K9" s="75">
        <v>9296.9830952099637</v>
      </c>
      <c r="L9" s="75">
        <v>3.5000000000000027</v>
      </c>
      <c r="M9" s="75">
        <v>5.200000000000002</v>
      </c>
      <c r="N9" s="74">
        <v>7472.4313042322747</v>
      </c>
      <c r="O9" s="75">
        <v>22.700000000093844</v>
      </c>
      <c r="P9" s="75">
        <v>21.000000000000032</v>
      </c>
      <c r="Q9" s="75">
        <v>24.740000000000013</v>
      </c>
      <c r="R9" s="76">
        <v>0</v>
      </c>
      <c r="S9" s="75">
        <v>6749.6333542978937</v>
      </c>
      <c r="T9" s="75">
        <v>499.93817204206306</v>
      </c>
      <c r="U9" s="75">
        <v>0</v>
      </c>
      <c r="V9" s="74">
        <v>7627.3181220800443</v>
      </c>
      <c r="W9" s="75">
        <v>5.0000000000000027</v>
      </c>
      <c r="X9" s="76">
        <v>1.8399999999999976</v>
      </c>
      <c r="Y9" s="75">
        <v>6049.9707845144294</v>
      </c>
      <c r="Z9" s="75">
        <v>17.840000000003347</v>
      </c>
      <c r="AA9" s="75">
        <v>21.000000000000032</v>
      </c>
      <c r="AB9" s="79">
        <v>21.519999999999982</v>
      </c>
      <c r="AC9" s="75">
        <v>0</v>
      </c>
      <c r="AD9" s="74">
        <v>3594.3709467191566</v>
      </c>
      <c r="AE9" s="75">
        <v>11220.842698193987</v>
      </c>
      <c r="AF9" s="75">
        <v>401.49000000009545</v>
      </c>
      <c r="AG9" s="75">
        <v>339.99999999999977</v>
      </c>
      <c r="AH9" s="75">
        <v>24.369437480948676</v>
      </c>
      <c r="AI9" s="75">
        <v>720.00000000000307</v>
      </c>
      <c r="AJ9" s="76">
        <v>0</v>
      </c>
      <c r="AK9" s="75">
        <v>1085.5920461548544</v>
      </c>
      <c r="AL9" s="75">
        <v>571074.58530320285</v>
      </c>
      <c r="AM9" s="75">
        <v>221.40087755000002</v>
      </c>
      <c r="AN9" s="74">
        <v>639.50562092519613</v>
      </c>
      <c r="AO9" s="75">
        <v>431360.39794624026</v>
      </c>
      <c r="AP9" s="76">
        <v>53.122781570999997</v>
      </c>
      <c r="AQ9" s="75">
        <v>446.49999999999949</v>
      </c>
      <c r="AR9" s="75">
        <v>229107.99999950008</v>
      </c>
      <c r="AS9" s="75">
        <v>14158.2934332</v>
      </c>
      <c r="AT9" s="77">
        <v>10748.699326660822</v>
      </c>
      <c r="AU9" s="75">
        <v>98973.796544951256</v>
      </c>
      <c r="AV9" s="77">
        <v>133338.63836947104</v>
      </c>
      <c r="AW9" s="78"/>
    </row>
    <row r="10" ht="14.45" customHeight="true" x14ac:dyDescent="0.25">
      <c r="A10" s="23">
        <f t="shared" si="0"/>
        <v>44227</v>
      </c>
      <c r="B10" s="75">
        <v>6480.2340408136415</v>
      </c>
      <c r="C10" s="75">
        <v>29.999999999999996</v>
      </c>
      <c r="D10" s="75">
        <v>69.170000000000215</v>
      </c>
      <c r="E10" s="75">
        <v>0</v>
      </c>
      <c r="F10" s="74">
        <v>6025.3432564960567</v>
      </c>
      <c r="G10" s="75">
        <v>79.169999999939975</v>
      </c>
      <c r="H10" s="75">
        <v>40.000000000000014</v>
      </c>
      <c r="I10" s="75">
        <v>92.230000000000246</v>
      </c>
      <c r="J10" s="76">
        <v>0</v>
      </c>
      <c r="K10" s="75">
        <v>9295.6409881233503</v>
      </c>
      <c r="L10" s="75">
        <v>3.5000000000000027</v>
      </c>
      <c r="M10" s="75">
        <v>5.200000000000002</v>
      </c>
      <c r="N10" s="74">
        <v>7471.6735930446112</v>
      </c>
      <c r="O10" s="75">
        <v>20.699999999992979</v>
      </c>
      <c r="P10" s="75">
        <v>18.999999999999979</v>
      </c>
      <c r="Q10" s="75">
        <v>25.740000000000002</v>
      </c>
      <c r="R10" s="76">
        <v>0</v>
      </c>
      <c r="S10" s="75">
        <v>6749.6333542978937</v>
      </c>
      <c r="T10" s="75">
        <v>499.93817204206306</v>
      </c>
      <c r="U10" s="75">
        <v>0</v>
      </c>
      <c r="V10" s="74">
        <v>7629.1366084317506</v>
      </c>
      <c r="W10" s="75">
        <v>5.0000000000000027</v>
      </c>
      <c r="X10" s="76">
        <v>1.8399999999999976</v>
      </c>
      <c r="Y10" s="75">
        <v>6049.4359604002557</v>
      </c>
      <c r="Z10" s="75">
        <v>15.839999999989338</v>
      </c>
      <c r="AA10" s="75">
        <v>18.999999999999979</v>
      </c>
      <c r="AB10" s="79">
        <v>21.519999999999982</v>
      </c>
      <c r="AC10" s="75">
        <v>0</v>
      </c>
      <c r="AD10" s="74">
        <v>3589.3496254265056</v>
      </c>
      <c r="AE10" s="75">
        <v>10761.738927905853</v>
      </c>
      <c r="AF10" s="75">
        <v>371.48999999988541</v>
      </c>
      <c r="AG10" s="75">
        <v>309.99999999999994</v>
      </c>
      <c r="AH10" s="75">
        <v>7.3220727763995539</v>
      </c>
      <c r="AI10" s="75">
        <v>860.0000000000025</v>
      </c>
      <c r="AJ10" s="76">
        <v>0</v>
      </c>
      <c r="AK10" s="75">
        <v>1089.770448458004</v>
      </c>
      <c r="AL10" s="75">
        <v>532840.33308973536</v>
      </c>
      <c r="AM10" s="75">
        <v>205.67017227899998</v>
      </c>
      <c r="AN10" s="74">
        <v>641.79754691929065</v>
      </c>
      <c r="AO10" s="75">
        <v>440283.45042637119</v>
      </c>
      <c r="AP10" s="76">
        <v>55.545407555400004</v>
      </c>
      <c r="AQ10" s="75">
        <v>446.49999999999949</v>
      </c>
      <c r="AR10" s="75">
        <v>255249.56996737025</v>
      </c>
      <c r="AS10" s="75">
        <v>15980.934681999999</v>
      </c>
      <c r="AT10" s="77">
        <v>10570.22310564763</v>
      </c>
      <c r="AU10" s="75">
        <v>103847.66666672396</v>
      </c>
      <c r="AV10" s="77">
        <v>90344.521249255107</v>
      </c>
      <c r="AW10" s="78"/>
    </row>
    <row r="11" ht="14.45" customHeight="true" x14ac:dyDescent="0.25">
      <c r="A11" s="23">
        <f t="shared" si="0"/>
        <v>44255</v>
      </c>
      <c r="B11" s="75">
        <v>6473.1764753280777</v>
      </c>
      <c r="C11" s="75">
        <v>27.999999999999989</v>
      </c>
      <c r="D11" s="75">
        <v>62.480000000000224</v>
      </c>
      <c r="E11" s="75">
        <v>0</v>
      </c>
      <c r="F11" s="74">
        <v>6025.1110705380515</v>
      </c>
      <c r="G11" s="75">
        <v>76.479999999967433</v>
      </c>
      <c r="H11" s="75">
        <v>42.000000000000014</v>
      </c>
      <c r="I11" s="75">
        <v>83.309999999999761</v>
      </c>
      <c r="J11" s="76">
        <v>0</v>
      </c>
      <c r="K11" s="75">
        <v>9294.2618665026148</v>
      </c>
      <c r="L11" s="75">
        <v>3</v>
      </c>
      <c r="M11" s="75">
        <v>4.7</v>
      </c>
      <c r="N11" s="74">
        <v>7470.9022104330634</v>
      </c>
      <c r="O11" s="75">
        <v>17.699999999994379</v>
      </c>
      <c r="P11" s="75">
        <v>15.999999999999977</v>
      </c>
      <c r="Q11" s="75">
        <v>22.769999999999989</v>
      </c>
      <c r="R11" s="76">
        <v>0</v>
      </c>
      <c r="S11" s="75">
        <v>6749.6333542978937</v>
      </c>
      <c r="T11" s="75">
        <v>500.02529761912848</v>
      </c>
      <c r="U11" s="75">
        <v>0</v>
      </c>
      <c r="V11" s="74">
        <v>7630.417333923876</v>
      </c>
      <c r="W11" s="75">
        <v>4</v>
      </c>
      <c r="X11" s="76">
        <v>1.6699999999999993</v>
      </c>
      <c r="Y11" s="75">
        <v>6049.4636356627234</v>
      </c>
      <c r="Z11" s="75">
        <v>20.642999999998413</v>
      </c>
      <c r="AA11" s="75">
        <v>22.999999999999989</v>
      </c>
      <c r="AB11" s="79">
        <v>19.440000000000019</v>
      </c>
      <c r="AC11" s="75">
        <v>0</v>
      </c>
      <c r="AD11" s="74">
        <v>3585.2715153543268</v>
      </c>
      <c r="AE11" s="75">
        <v>10397.892542544942</v>
      </c>
      <c r="AF11" s="75">
        <v>364.69099999961099</v>
      </c>
      <c r="AG11" s="75">
        <v>320.00000000000006</v>
      </c>
      <c r="AH11" s="75">
        <v>7.6450968635091048</v>
      </c>
      <c r="AI11" s="75">
        <v>750</v>
      </c>
      <c r="AJ11" s="76">
        <v>0</v>
      </c>
      <c r="AK11" s="75">
        <v>1092.7880563188965</v>
      </c>
      <c r="AL11" s="75">
        <v>533273.75105636986</v>
      </c>
      <c r="AM11" s="75">
        <v>211.67111208200001</v>
      </c>
      <c r="AN11" s="74">
        <v>641.79754691929065</v>
      </c>
      <c r="AO11" s="75">
        <v>513207.83701231645</v>
      </c>
      <c r="AP11" s="76">
        <v>64.851724015100004</v>
      </c>
      <c r="AQ11" s="75">
        <v>446.49999999999949</v>
      </c>
      <c r="AR11" s="75">
        <v>392829.47992025537</v>
      </c>
      <c r="AS11" s="75">
        <v>25507.301461800002</v>
      </c>
      <c r="AT11" s="77">
        <v>10650.47975486587</v>
      </c>
      <c r="AU11" s="75">
        <v>30736.666666738369</v>
      </c>
      <c r="AV11" s="77">
        <v>85138.355294972949</v>
      </c>
      <c r="AW11" s="78"/>
    </row>
    <row r="12" ht="14.45" customHeight="true" x14ac:dyDescent="0.25">
      <c r="A12" s="23">
        <f t="shared" si="0"/>
        <v>44286</v>
      </c>
      <c r="B12" s="75">
        <v>6468.0972166994688</v>
      </c>
      <c r="C12" s="75">
        <v>44.999999999999993</v>
      </c>
      <c r="D12" s="75">
        <v>66.449999999999918</v>
      </c>
      <c r="E12" s="75">
        <v>0</v>
      </c>
      <c r="F12" s="74">
        <v>6025.8819097768965</v>
      </c>
      <c r="G12" s="75">
        <v>111.45000000000972</v>
      </c>
      <c r="H12" s="75">
        <v>90.000000000000227</v>
      </c>
      <c r="I12" s="75">
        <v>78.70000000000023</v>
      </c>
      <c r="J12" s="76">
        <v>0</v>
      </c>
      <c r="K12" s="75">
        <v>9292.4167545275486</v>
      </c>
      <c r="L12" s="75">
        <v>2.9999999999999991</v>
      </c>
      <c r="M12" s="75">
        <v>5.200000000000002</v>
      </c>
      <c r="N12" s="74">
        <v>7471.5913783136402</v>
      </c>
      <c r="O12" s="75">
        <v>30.2000000000378</v>
      </c>
      <c r="P12" s="75">
        <v>28.000000000000004</v>
      </c>
      <c r="Q12" s="75">
        <v>25.120000000000026</v>
      </c>
      <c r="R12" s="76">
        <v>25.119999999984849</v>
      </c>
      <c r="S12" s="75">
        <v>6749.6333542978937</v>
      </c>
      <c r="T12" s="75">
        <v>538.64516129098797</v>
      </c>
      <c r="U12" s="75">
        <v>0</v>
      </c>
      <c r="V12" s="74">
        <v>7633.1478847440858</v>
      </c>
      <c r="W12" s="75">
        <v>7.0000000000000311</v>
      </c>
      <c r="X12" s="76">
        <v>1.8399999999999976</v>
      </c>
      <c r="Y12" s="75">
        <v>6051.5064404855575</v>
      </c>
      <c r="Z12" s="75">
        <v>52.750999999967959</v>
      </c>
      <c r="AA12" s="75">
        <v>61.99999999999973</v>
      </c>
      <c r="AB12" s="79">
        <v>21.519999999999982</v>
      </c>
      <c r="AC12" s="75">
        <v>0</v>
      </c>
      <c r="AD12" s="74">
        <v>3581.4789722440905</v>
      </c>
      <c r="AE12" s="75">
        <v>10066.762850427151</v>
      </c>
      <c r="AF12" s="75">
        <v>455.06900000029248</v>
      </c>
      <c r="AG12" s="75">
        <v>499.99999999999966</v>
      </c>
      <c r="AH12" s="75">
        <v>12.689059646406836</v>
      </c>
      <c r="AI12" s="75">
        <v>800.00000000000273</v>
      </c>
      <c r="AJ12" s="76">
        <v>0</v>
      </c>
      <c r="AK12" s="75">
        <v>1091.2966744881878</v>
      </c>
      <c r="AL12" s="75">
        <v>982302.74507014849</v>
      </c>
      <c r="AM12" s="75">
        <v>401.25160083499998</v>
      </c>
      <c r="AN12" s="74">
        <v>643.05459791010435</v>
      </c>
      <c r="AO12" s="75">
        <v>923380.17084799171</v>
      </c>
      <c r="AP12" s="76">
        <v>115.36030463600001</v>
      </c>
      <c r="AQ12" s="75">
        <v>446.69999999999948</v>
      </c>
      <c r="AR12" s="75">
        <v>637816.26349260088</v>
      </c>
      <c r="AS12" s="75">
        <v>41298.337060999998</v>
      </c>
      <c r="AT12" s="77">
        <v>14856.772980822756</v>
      </c>
      <c r="AU12" s="75">
        <v>99676.66666657076</v>
      </c>
      <c r="AV12" s="77">
        <v>169475.42294110014</v>
      </c>
      <c r="AW12" s="78"/>
    </row>
    <row r="13" ht="14.45" customHeight="true" x14ac:dyDescent="0.25">
      <c r="A13" s="23">
        <f t="shared" si="0"/>
        <v>44316</v>
      </c>
      <c r="B13" s="75">
        <v>6468.8710298556362</v>
      </c>
      <c r="C13" s="75">
        <v>70</v>
      </c>
      <c r="D13" s="75">
        <v>66.250000000000199</v>
      </c>
      <c r="E13" s="75">
        <v>0</v>
      </c>
      <c r="F13" s="74">
        <v>6026.7888481299151</v>
      </c>
      <c r="G13" s="75">
        <v>116.24999999999991</v>
      </c>
      <c r="H13" s="75">
        <v>120.00000000000006</v>
      </c>
      <c r="I13" s="75">
        <v>76.170000000000115</v>
      </c>
      <c r="J13" s="76">
        <v>0</v>
      </c>
      <c r="K13" s="75">
        <v>9288.8600592191506</v>
      </c>
      <c r="L13" s="75">
        <v>5.9999999999999742</v>
      </c>
      <c r="M13" s="75">
        <v>10.000000000000014</v>
      </c>
      <c r="N13" s="74">
        <v>7474.1690762139024</v>
      </c>
      <c r="O13" s="75">
        <v>63.999999999915893</v>
      </c>
      <c r="P13" s="75">
        <v>59.999999999999737</v>
      </c>
      <c r="Q13" s="75">
        <v>45.549999999999969</v>
      </c>
      <c r="R13" s="76">
        <v>45.549999999983157</v>
      </c>
      <c r="S13" s="75">
        <v>6749.6333542978937</v>
      </c>
      <c r="T13" s="75">
        <v>1101.6041666663846</v>
      </c>
      <c r="U13" s="75">
        <v>0</v>
      </c>
      <c r="V13" s="74">
        <v>7641.4815253608849</v>
      </c>
      <c r="W13" s="75">
        <v>19.000000000000004</v>
      </c>
      <c r="X13" s="76">
        <v>1.7900000000000014</v>
      </c>
      <c r="Y13" s="75">
        <v>6055.2247189960563</v>
      </c>
      <c r="Z13" s="75">
        <v>89.727000000056421</v>
      </c>
      <c r="AA13" s="75">
        <v>120.00000000000006</v>
      </c>
      <c r="AB13" s="79">
        <v>20.830000000000027</v>
      </c>
      <c r="AC13" s="75">
        <v>0</v>
      </c>
      <c r="AD13" s="74">
        <v>3580.5914141732246</v>
      </c>
      <c r="AE13" s="75">
        <v>9990.2885438515859</v>
      </c>
      <c r="AF13" s="75">
        <v>647.27499999910833</v>
      </c>
      <c r="AG13" s="75">
        <v>770.00000000000057</v>
      </c>
      <c r="AH13" s="75">
        <v>19.867249254779477</v>
      </c>
      <c r="AI13" s="75">
        <v>710.0000000000025</v>
      </c>
      <c r="AJ13" s="76">
        <v>0</v>
      </c>
      <c r="AK13" s="75">
        <v>1087.724158809054</v>
      </c>
      <c r="AL13" s="75">
        <v>1046567.5503784352</v>
      </c>
      <c r="AM13" s="75">
        <v>424.85524952700001</v>
      </c>
      <c r="AN13" s="74">
        <v>642.99981670275531</v>
      </c>
      <c r="AO13" s="75">
        <v>1018871.7317281376</v>
      </c>
      <c r="AP13" s="76">
        <v>127.18890703699999</v>
      </c>
      <c r="AQ13" s="75">
        <v>448.69999999999948</v>
      </c>
      <c r="AR13" s="75">
        <v>707619.93271874276</v>
      </c>
      <c r="AS13" s="75">
        <v>46573.602541100001</v>
      </c>
      <c r="AT13" s="77">
        <v>21043.293425406762</v>
      </c>
      <c r="AU13" s="75">
        <v>96729.666666605059</v>
      </c>
      <c r="AV13" s="77">
        <v>163228.20009679018</v>
      </c>
      <c r="AW13" s="78"/>
    </row>
    <row r="14" ht="14.45" customHeight="true" x14ac:dyDescent="0.25">
      <c r="A14" s="23">
        <f t="shared" si="0"/>
        <v>44347</v>
      </c>
      <c r="B14" s="75">
        <v>6479.0930010826705</v>
      </c>
      <c r="C14" s="75">
        <v>134.99999999999972</v>
      </c>
      <c r="D14" s="75">
        <v>86.280000000000229</v>
      </c>
      <c r="E14" s="75">
        <v>0</v>
      </c>
      <c r="F14" s="74">
        <v>6028.0168833005191</v>
      </c>
      <c r="G14" s="75">
        <v>151.28000000003459</v>
      </c>
      <c r="H14" s="75">
        <v>199.99999999999977</v>
      </c>
      <c r="I14" s="75">
        <v>95.369999999999919</v>
      </c>
      <c r="J14" s="76">
        <v>0</v>
      </c>
      <c r="K14" s="75">
        <v>9298.061859875319</v>
      </c>
      <c r="L14" s="75">
        <v>25.000000000000011</v>
      </c>
      <c r="M14" s="75">
        <v>14.000000000000002</v>
      </c>
      <c r="N14" s="74">
        <v>7493.5705980642961</v>
      </c>
      <c r="O14" s="75">
        <v>178.9999999999508</v>
      </c>
      <c r="P14" s="75">
        <v>189.99999999999974</v>
      </c>
      <c r="Q14" s="75">
        <v>33.010000000000034</v>
      </c>
      <c r="R14" s="76">
        <v>26.849937063451495</v>
      </c>
      <c r="S14" s="75">
        <v>6749.6333542978937</v>
      </c>
      <c r="T14" s="75">
        <v>1350.0282258053492</v>
      </c>
      <c r="U14" s="75">
        <v>0</v>
      </c>
      <c r="V14" s="74">
        <v>7654.8939303477609</v>
      </c>
      <c r="W14" s="75">
        <v>63.000000000000036</v>
      </c>
      <c r="X14" s="76">
        <v>31.040000000000013</v>
      </c>
      <c r="Y14" s="75">
        <v>6064.5898924540616</v>
      </c>
      <c r="Z14" s="75">
        <v>185.42099999995693</v>
      </c>
      <c r="AA14" s="75">
        <v>250.00000000000011</v>
      </c>
      <c r="AB14" s="79">
        <v>26.279999999999998</v>
      </c>
      <c r="AC14" s="75">
        <v>0</v>
      </c>
      <c r="AD14" s="74">
        <v>3587.9761713582639</v>
      </c>
      <c r="AE14" s="75">
        <v>10638.286909023465</v>
      </c>
      <c r="AF14" s="75">
        <v>1433.8139999999264</v>
      </c>
      <c r="AG14" s="75">
        <v>1850.0000000000014</v>
      </c>
      <c r="AH14" s="75">
        <v>23.975764366178314</v>
      </c>
      <c r="AI14" s="75">
        <v>710.00000000000011</v>
      </c>
      <c r="AJ14" s="76">
        <v>0</v>
      </c>
      <c r="AK14" s="75">
        <v>1084.1785632808387</v>
      </c>
      <c r="AL14" s="75">
        <v>1007075.928231711</v>
      </c>
      <c r="AM14" s="75">
        <v>393.638592335</v>
      </c>
      <c r="AN14" s="74">
        <v>642.99981670275531</v>
      </c>
      <c r="AO14" s="75">
        <v>975075.61508055124</v>
      </c>
      <c r="AP14" s="76">
        <v>122.069742597</v>
      </c>
      <c r="AQ14" s="75">
        <v>448.69999999999948</v>
      </c>
      <c r="AR14" s="75">
        <v>704925.50328553689</v>
      </c>
      <c r="AS14" s="75">
        <v>46868.205365100002</v>
      </c>
      <c r="AT14" s="77">
        <v>27429.188282873842</v>
      </c>
      <c r="AU14" s="75">
        <v>88435.666666569974</v>
      </c>
      <c r="AV14" s="77">
        <v>171558.4182257331</v>
      </c>
      <c r="AW14" s="78"/>
    </row>
    <row r="15" ht="14.45" customHeight="true" x14ac:dyDescent="0.25">
      <c r="A15" s="23">
        <f t="shared" si="0"/>
        <v>44377</v>
      </c>
      <c r="B15" s="75">
        <v>6498.7476824474998</v>
      </c>
      <c r="C15" s="75">
        <v>265.00000000000017</v>
      </c>
      <c r="D15" s="75">
        <v>135.26999999999981</v>
      </c>
      <c r="E15" s="75">
        <v>33.55242599939195</v>
      </c>
      <c r="F15" s="74">
        <v>6027.2460035761087</v>
      </c>
      <c r="G15" s="75">
        <v>195.26999999997631</v>
      </c>
      <c r="H15" s="75">
        <v>324.99999999999994</v>
      </c>
      <c r="I15" s="75">
        <v>215.21000000000029</v>
      </c>
      <c r="J15" s="76">
        <v>0</v>
      </c>
      <c r="K15" s="75">
        <v>9310.4201785432979</v>
      </c>
      <c r="L15" s="75">
        <v>38.000000000000014</v>
      </c>
      <c r="M15" s="75">
        <v>19.999999999999975</v>
      </c>
      <c r="N15" s="74">
        <v>7504.4427800852945</v>
      </c>
      <c r="O15" s="75">
        <v>242.00000000100846</v>
      </c>
      <c r="P15" s="75">
        <v>260.00000000000011</v>
      </c>
      <c r="Q15" s="75">
        <v>151.71999999999991</v>
      </c>
      <c r="R15" s="76">
        <v>0</v>
      </c>
      <c r="S15" s="75">
        <v>6749.6333542978937</v>
      </c>
      <c r="T15" s="75">
        <v>3390.0166666658483</v>
      </c>
      <c r="U15" s="75">
        <v>69.977851239595395</v>
      </c>
      <c r="V15" s="74">
        <v>7663.6209140091787</v>
      </c>
      <c r="W15" s="75">
        <v>66.000000000000128</v>
      </c>
      <c r="X15" s="76">
        <v>42.739999999999988</v>
      </c>
      <c r="Y15" s="75">
        <v>6068.7132188648229</v>
      </c>
      <c r="Z15" s="75">
        <v>143.05499999999819</v>
      </c>
      <c r="AA15" s="75">
        <v>190.00000000000006</v>
      </c>
      <c r="AB15" s="79">
        <v>29.749999999999982</v>
      </c>
      <c r="AC15" s="75">
        <v>0</v>
      </c>
      <c r="AD15" s="74">
        <v>3601.5245949803116</v>
      </c>
      <c r="AE15" s="75">
        <v>11896.111742411194</v>
      </c>
      <c r="AF15" s="75">
        <v>2148.7170000007809</v>
      </c>
      <c r="AG15" s="75">
        <v>2450.0000000000027</v>
      </c>
      <c r="AH15" s="75">
        <v>40.266177333224427</v>
      </c>
      <c r="AI15" s="75">
        <v>750.00000000000114</v>
      </c>
      <c r="AJ15" s="76">
        <v>0</v>
      </c>
      <c r="AK15" s="75">
        <v>1081.22423926181</v>
      </c>
      <c r="AL15" s="75">
        <v>961012.2518380509</v>
      </c>
      <c r="AM15" s="75">
        <v>368.378710076</v>
      </c>
      <c r="AN15" s="74">
        <v>642.99981670275531</v>
      </c>
      <c r="AO15" s="75">
        <v>920802.33685206447</v>
      </c>
      <c r="AP15" s="76">
        <v>115.383824132</v>
      </c>
      <c r="AQ15" s="75">
        <v>448.69999999999948</v>
      </c>
      <c r="AR15" s="75">
        <v>717312.92434760032</v>
      </c>
      <c r="AS15" s="75">
        <v>47762.502608499999</v>
      </c>
      <c r="AT15" s="77">
        <v>27521.272227658366</v>
      </c>
      <c r="AU15" s="75">
        <v>85852.666666641046</v>
      </c>
      <c r="AV15" s="77">
        <v>99714.914763424429</v>
      </c>
      <c r="AW15" s="78"/>
    </row>
    <row r="16" ht="14.45" customHeight="true" x14ac:dyDescent="0.25">
      <c r="A16" s="23">
        <f t="shared" si="0"/>
        <v>44408</v>
      </c>
      <c r="B16" s="75">
        <v>6503.4315145013052</v>
      </c>
      <c r="C16" s="75">
        <v>169.99999999999989</v>
      </c>
      <c r="D16" s="75">
        <v>131.5999999999998</v>
      </c>
      <c r="E16" s="75">
        <v>29.236278105955996</v>
      </c>
      <c r="F16" s="74">
        <v>6029.0819128280782</v>
      </c>
      <c r="G16" s="75">
        <v>156.59999999992425</v>
      </c>
      <c r="H16" s="75">
        <v>195.00000000000009</v>
      </c>
      <c r="I16" s="75">
        <v>70.610000000000227</v>
      </c>
      <c r="J16" s="76">
        <v>0</v>
      </c>
      <c r="K16" s="75">
        <v>9304.884012040673</v>
      </c>
      <c r="L16" s="75">
        <v>14.999999999999998</v>
      </c>
      <c r="M16" s="75">
        <v>23.499999999999993</v>
      </c>
      <c r="N16" s="74">
        <v>7506.7755209317511</v>
      </c>
      <c r="O16" s="75">
        <v>98.499999999929869</v>
      </c>
      <c r="P16" s="75">
        <v>90.000000000000227</v>
      </c>
      <c r="Q16" s="75">
        <v>77.230000000000018</v>
      </c>
      <c r="R16" s="76">
        <v>0</v>
      </c>
      <c r="S16" s="75">
        <v>6749.6333542978937</v>
      </c>
      <c r="T16" s="75">
        <v>1499.9771505383592</v>
      </c>
      <c r="U16" s="75">
        <v>0</v>
      </c>
      <c r="V16" s="74">
        <v>7657.8638130249255</v>
      </c>
      <c r="W16" s="75">
        <v>27.000000000000004</v>
      </c>
      <c r="X16" s="76">
        <v>41.54</v>
      </c>
      <c r="Y16" s="75">
        <v>6065.8128626312273</v>
      </c>
      <c r="Z16" s="75">
        <v>53.371999999976872</v>
      </c>
      <c r="AA16" s="75">
        <v>40.000000000000014</v>
      </c>
      <c r="AB16" s="79">
        <v>30.739999999999984</v>
      </c>
      <c r="AC16" s="75">
        <v>0</v>
      </c>
      <c r="AD16" s="74">
        <v>3600.6703596456655</v>
      </c>
      <c r="AE16" s="75">
        <v>11814.14672977589</v>
      </c>
      <c r="AF16" s="75">
        <v>811.95400000081281</v>
      </c>
      <c r="AG16" s="75">
        <v>900.00000000000216</v>
      </c>
      <c r="AH16" s="75">
        <v>50.476211415639369</v>
      </c>
      <c r="AI16" s="75">
        <v>849.99999999999932</v>
      </c>
      <c r="AJ16" s="76">
        <v>0</v>
      </c>
      <c r="AK16" s="75">
        <v>1081.0852705643033</v>
      </c>
      <c r="AL16" s="75">
        <v>840711.3785465986</v>
      </c>
      <c r="AM16" s="75">
        <v>328.16217583600002</v>
      </c>
      <c r="AN16" s="74">
        <v>641.99704448162663</v>
      </c>
      <c r="AO16" s="75">
        <v>830837.38441076491</v>
      </c>
      <c r="AP16" s="76">
        <v>104.25727594999999</v>
      </c>
      <c r="AQ16" s="75">
        <v>447.99999999999949</v>
      </c>
      <c r="AR16" s="75">
        <v>692313.83763776626</v>
      </c>
      <c r="AS16" s="75">
        <v>45826.809837000001</v>
      </c>
      <c r="AT16" s="77">
        <v>28006.191350299472</v>
      </c>
      <c r="AU16" s="75">
        <v>88429.666666698933</v>
      </c>
      <c r="AV16" s="77">
        <v>51819.245788692089</v>
      </c>
      <c r="AW16" s="78"/>
    </row>
    <row r="17" ht="14.45" customHeight="true" x14ac:dyDescent="0.25">
      <c r="A17" s="23">
        <f t="shared" si="0"/>
        <v>44439</v>
      </c>
      <c r="B17" s="75">
        <v>6501.0470266076045</v>
      </c>
      <c r="C17" s="75">
        <v>59.999999999999993</v>
      </c>
      <c r="D17" s="75">
        <v>76.169999999999888</v>
      </c>
      <c r="E17" s="75">
        <v>0</v>
      </c>
      <c r="F17" s="74">
        <v>6028.7657872703348</v>
      </c>
      <c r="G17" s="75">
        <v>86.169999999989017</v>
      </c>
      <c r="H17" s="75">
        <v>70.000000000000327</v>
      </c>
      <c r="I17" s="75">
        <v>86.079999999999799</v>
      </c>
      <c r="J17" s="76">
        <v>0</v>
      </c>
      <c r="K17" s="75">
        <v>9296.9048540682306</v>
      </c>
      <c r="L17" s="75">
        <v>8.0000000000000266</v>
      </c>
      <c r="M17" s="75">
        <v>18.999999999999979</v>
      </c>
      <c r="N17" s="74">
        <v>7504.1353421259773</v>
      </c>
      <c r="O17" s="75">
        <v>60.999999999992951</v>
      </c>
      <c r="P17" s="75">
        <v>49.999999999999964</v>
      </c>
      <c r="Q17" s="75">
        <v>82.230000000000288</v>
      </c>
      <c r="R17" s="76">
        <v>0</v>
      </c>
      <c r="S17" s="75">
        <v>6749.6333542978937</v>
      </c>
      <c r="T17" s="75">
        <v>1499.9771505383592</v>
      </c>
      <c r="U17" s="75">
        <v>0</v>
      </c>
      <c r="V17" s="74">
        <v>7649.2927940288637</v>
      </c>
      <c r="W17" s="75">
        <v>16.999999999999989</v>
      </c>
      <c r="X17" s="76">
        <v>37.810000000000016</v>
      </c>
      <c r="Y17" s="75">
        <v>6063.5630696194166</v>
      </c>
      <c r="Z17" s="75">
        <v>53.897000000094543</v>
      </c>
      <c r="AA17" s="75">
        <v>33.999999999999972</v>
      </c>
      <c r="AB17" s="79">
        <v>31.83000000000002</v>
      </c>
      <c r="AC17" s="75">
        <v>0</v>
      </c>
      <c r="AD17" s="74">
        <v>3596.224156660101</v>
      </c>
      <c r="AE17" s="75">
        <v>11393.382994225545</v>
      </c>
      <c r="AF17" s="75">
        <v>495.16699999998661</v>
      </c>
      <c r="AG17" s="75">
        <v>400.00000000000011</v>
      </c>
      <c r="AH17" s="75">
        <v>49.591835297650547</v>
      </c>
      <c r="AI17" s="75">
        <v>900.00000000000216</v>
      </c>
      <c r="AJ17" s="76">
        <v>0</v>
      </c>
      <c r="AK17" s="75">
        <v>1082.12067383202</v>
      </c>
      <c r="AL17" s="75">
        <v>799183.13938007341</v>
      </c>
      <c r="AM17" s="75">
        <v>310.89967484099998</v>
      </c>
      <c r="AN17" s="74">
        <v>641.99704448162663</v>
      </c>
      <c r="AO17" s="75">
        <v>764312.81518054905</v>
      </c>
      <c r="AP17" s="76">
        <v>95.841560614500011</v>
      </c>
      <c r="AQ17" s="75">
        <v>447.50000000328043</v>
      </c>
      <c r="AR17" s="75">
        <v>622530.01914201723</v>
      </c>
      <c r="AS17" s="75">
        <v>40798.736637100003</v>
      </c>
      <c r="AT17" s="77">
        <v>28476.748756777473</v>
      </c>
      <c r="AU17" s="75">
        <v>88429.666666698933</v>
      </c>
      <c r="AV17" s="77">
        <v>51819.245788692089</v>
      </c>
      <c r="AW17" s="78"/>
    </row>
    <row r="18" ht="14.45" customHeight="true" x14ac:dyDescent="0.25">
      <c r="A18" s="23">
        <f t="shared" si="0"/>
        <v>44469</v>
      </c>
      <c r="B18" s="75">
        <v>6498.0803856627226</v>
      </c>
      <c r="C18" s="75">
        <v>45.000000000000014</v>
      </c>
      <c r="D18" s="75">
        <v>65.449999999999875</v>
      </c>
      <c r="E18" s="75">
        <v>45.493521843559776</v>
      </c>
      <c r="F18" s="74">
        <v>6028.0097410433009</v>
      </c>
      <c r="G18" s="75">
        <v>73.4499999999327</v>
      </c>
      <c r="H18" s="75">
        <v>53.000000000000036</v>
      </c>
      <c r="I18" s="75">
        <v>92.22999999999999</v>
      </c>
      <c r="J18" s="76">
        <v>0</v>
      </c>
      <c r="K18" s="75">
        <v>9286.9776111876545</v>
      </c>
      <c r="L18" s="75">
        <v>5.9999999999999742</v>
      </c>
      <c r="M18" s="75">
        <v>17.499999999999968</v>
      </c>
      <c r="N18" s="74">
        <v>7500.1948098425119</v>
      </c>
      <c r="O18" s="75">
        <v>44.499999999957936</v>
      </c>
      <c r="P18" s="75">
        <v>33.000000000000007</v>
      </c>
      <c r="Q18" s="75">
        <v>76.310000000000244</v>
      </c>
      <c r="R18" s="76">
        <v>0</v>
      </c>
      <c r="S18" s="75">
        <v>6749.6333542978937</v>
      </c>
      <c r="T18" s="75">
        <v>1400.0708333321472</v>
      </c>
      <c r="U18" s="75">
        <v>31.403812410954988</v>
      </c>
      <c r="V18" s="74">
        <v>7642.7917838254516</v>
      </c>
      <c r="W18" s="75">
        <v>15.000000000000023</v>
      </c>
      <c r="X18" s="76">
        <v>29.619999999999997</v>
      </c>
      <c r="Y18" s="75">
        <v>6062.5928158136421</v>
      </c>
      <c r="Z18" s="75">
        <v>47.289999999994912</v>
      </c>
      <c r="AA18" s="75">
        <v>33.999999999999972</v>
      </c>
      <c r="AB18" s="79">
        <v>31.040000000000003</v>
      </c>
      <c r="AC18" s="75">
        <v>0</v>
      </c>
      <c r="AD18" s="74">
        <v>3593.4042543307046</v>
      </c>
      <c r="AE18" s="75">
        <v>11131.502249031713</v>
      </c>
      <c r="AF18" s="75">
        <v>431.97799999900849</v>
      </c>
      <c r="AG18" s="75">
        <v>324.99999999999994</v>
      </c>
      <c r="AH18" s="75">
        <v>44.809198157788543</v>
      </c>
      <c r="AI18" s="75">
        <v>669.99999999999784</v>
      </c>
      <c r="AJ18" s="76">
        <v>0</v>
      </c>
      <c r="AK18" s="75">
        <v>1081.3807422834634</v>
      </c>
      <c r="AL18" s="75">
        <v>727328.51725362893</v>
      </c>
      <c r="AM18" s="75">
        <v>281.575250504</v>
      </c>
      <c r="AN18" s="74">
        <v>640.00753110564244</v>
      </c>
      <c r="AO18" s="75">
        <v>748341.30757032568</v>
      </c>
      <c r="AP18" s="76">
        <v>93.128778487799991</v>
      </c>
      <c r="AQ18" s="75">
        <v>447.49999999999949</v>
      </c>
      <c r="AR18" s="75">
        <v>529375.88653757179</v>
      </c>
      <c r="AS18" s="75">
        <v>34444.793820699997</v>
      </c>
      <c r="AT18" s="77">
        <v>24583.034059359456</v>
      </c>
      <c r="AU18" s="75">
        <v>70337.666666763776</v>
      </c>
      <c r="AV18" s="77">
        <v>140322.30400391002</v>
      </c>
      <c r="AW18" s="78"/>
    </row>
    <row r="19" ht="14.45" customHeight="true" x14ac:dyDescent="0.25">
      <c r="A19" s="23">
        <f t="shared" si="0"/>
        <v>44500</v>
      </c>
      <c r="B19" s="75">
        <v>6495.2054775590477</v>
      </c>
      <c r="C19" s="75">
        <v>48.020000000000024</v>
      </c>
      <c r="D19" s="75">
        <v>67.640000000000157</v>
      </c>
      <c r="E19" s="75">
        <v>0</v>
      </c>
      <c r="F19" s="74">
        <v>6027.8754241797842</v>
      </c>
      <c r="G19" s="75">
        <v>77.159999999923727</v>
      </c>
      <c r="H19" s="75">
        <v>57.539999999999992</v>
      </c>
      <c r="I19" s="75">
        <v>75.170000000000186</v>
      </c>
      <c r="J19" s="76">
        <v>0</v>
      </c>
      <c r="K19" s="75">
        <v>9281.1778197834537</v>
      </c>
      <c r="L19" s="75">
        <v>5.8300000000000027</v>
      </c>
      <c r="M19" s="75">
        <v>11.49999999999998</v>
      </c>
      <c r="N19" s="74">
        <v>7495.4438272965799</v>
      </c>
      <c r="O19" s="75">
        <v>40.539999999966902</v>
      </c>
      <c r="P19" s="75">
        <v>34.870000000000033</v>
      </c>
      <c r="Q19" s="75">
        <v>78.610000000000198</v>
      </c>
      <c r="R19" s="76">
        <v>0</v>
      </c>
      <c r="S19" s="75">
        <v>6749.6333542978937</v>
      </c>
      <c r="T19" s="75">
        <v>1399.9569892468064</v>
      </c>
      <c r="U19" s="75">
        <v>0</v>
      </c>
      <c r="V19" s="74">
        <v>7641.313062106291</v>
      </c>
      <c r="W19" s="75">
        <v>14.170000000000027</v>
      </c>
      <c r="X19" s="76">
        <v>17.199999999999985</v>
      </c>
      <c r="Y19" s="75">
        <v>6062.5625452099675</v>
      </c>
      <c r="Z19" s="75">
        <v>41.297000000093156</v>
      </c>
      <c r="AA19" s="75">
        <v>40.240000000000038</v>
      </c>
      <c r="AB19" s="79">
        <v>30.679999999999978</v>
      </c>
      <c r="AC19" s="75">
        <v>0</v>
      </c>
      <c r="AD19" s="74">
        <v>3591.7395092519646</v>
      </c>
      <c r="AE19" s="75">
        <v>10978.722875016212</v>
      </c>
      <c r="AF19" s="75">
        <v>505.6470000005985</v>
      </c>
      <c r="AG19" s="75">
        <v>442.64000000000004</v>
      </c>
      <c r="AH19" s="75">
        <v>30.648720177724993</v>
      </c>
      <c r="AI19" s="75">
        <v>639.99999999999716</v>
      </c>
      <c r="AJ19" s="76">
        <v>0</v>
      </c>
      <c r="AK19" s="75">
        <v>1082.6548651279516</v>
      </c>
      <c r="AL19" s="75">
        <v>535328.15397537185</v>
      </c>
      <c r="AM19" s="75">
        <v>204.22070144599999</v>
      </c>
      <c r="AN19" s="74">
        <v>632.99732935367388</v>
      </c>
      <c r="AO19" s="75">
        <v>693397.13852896634</v>
      </c>
      <c r="AP19" s="76">
        <v>83.792244803000003</v>
      </c>
      <c r="AQ19" s="75">
        <v>447.49999999999949</v>
      </c>
      <c r="AR19" s="75">
        <v>470008.67232768144</v>
      </c>
      <c r="AS19" s="75">
        <v>30935.956954500001</v>
      </c>
      <c r="AT19" s="77">
        <v>23522.801482902527</v>
      </c>
      <c r="AU19" s="75">
        <v>56385.666666768942</v>
      </c>
      <c r="AV19" s="77">
        <v>172599.47511558581</v>
      </c>
      <c r="AW19" s="78"/>
    </row>
    <row r="20" ht="14.45" customHeight="true" x14ac:dyDescent="0.25">
      <c r="A20" s="23">
        <f t="shared" si="0"/>
        <v>44530</v>
      </c>
      <c r="B20" s="75">
        <v>6491.5035609908064</v>
      </c>
      <c r="C20" s="75">
        <v>41.830000000000027</v>
      </c>
      <c r="D20" s="75">
        <v>66.94</v>
      </c>
      <c r="E20" s="75">
        <v>0</v>
      </c>
      <c r="F20" s="74">
        <v>6027.6900735564241</v>
      </c>
      <c r="G20" s="75">
        <v>75.590000000104169</v>
      </c>
      <c r="H20" s="75">
        <v>50.479999999999983</v>
      </c>
      <c r="I20" s="75">
        <v>79.439999999999728</v>
      </c>
      <c r="J20" s="76">
        <v>0</v>
      </c>
      <c r="K20" s="75">
        <v>9280.8925306758447</v>
      </c>
      <c r="L20" s="75">
        <v>4.79</v>
      </c>
      <c r="M20" s="75">
        <v>5.0499999999999972</v>
      </c>
      <c r="N20" s="74">
        <v>7495.7102873359499</v>
      </c>
      <c r="O20" s="75">
        <v>30.010000000030235</v>
      </c>
      <c r="P20" s="75">
        <v>29.749999999999982</v>
      </c>
      <c r="Q20" s="75">
        <v>27.630000000000031</v>
      </c>
      <c r="R20" s="76">
        <v>0</v>
      </c>
      <c r="S20" s="75">
        <v>6749.6333542978937</v>
      </c>
      <c r="T20" s="75">
        <v>573.40555555671403</v>
      </c>
      <c r="U20" s="75">
        <v>0</v>
      </c>
      <c r="V20" s="74">
        <v>7643.9420848425107</v>
      </c>
      <c r="W20" s="75">
        <v>8.3699999999999903</v>
      </c>
      <c r="X20" s="76">
        <v>2.4799999999999986</v>
      </c>
      <c r="Y20" s="75">
        <v>6062.1233730971062</v>
      </c>
      <c r="Z20" s="75">
        <v>24.97199999995728</v>
      </c>
      <c r="AA20" s="75">
        <v>31.130000000000003</v>
      </c>
      <c r="AB20" s="79">
        <v>29.690000000000005</v>
      </c>
      <c r="AC20" s="75">
        <v>0</v>
      </c>
      <c r="AD20" s="74">
        <v>3589.67259438976</v>
      </c>
      <c r="AE20" s="75">
        <v>10790.900567019666</v>
      </c>
      <c r="AF20" s="75">
        <v>466.51000000078636</v>
      </c>
      <c r="AG20" s="75">
        <v>440.78999999999996</v>
      </c>
      <c r="AH20" s="75">
        <v>29.358088022276924</v>
      </c>
      <c r="AI20" s="75">
        <v>640.00000000000193</v>
      </c>
      <c r="AJ20" s="76">
        <v>0</v>
      </c>
      <c r="AK20" s="75">
        <v>1082.5916416765081</v>
      </c>
      <c r="AL20" s="75">
        <v>654420.87115926202</v>
      </c>
      <c r="AM20" s="75">
        <v>255.39925581200001</v>
      </c>
      <c r="AN20" s="74">
        <v>634.99500232611479</v>
      </c>
      <c r="AO20" s="75">
        <v>574260.11747813399</v>
      </c>
      <c r="AP20" s="76">
        <v>68.44042435210001</v>
      </c>
      <c r="AQ20" s="75">
        <v>447.49999999999949</v>
      </c>
      <c r="AR20" s="75">
        <v>355216.46126106312</v>
      </c>
      <c r="AS20" s="75">
        <v>23084.1087247</v>
      </c>
      <c r="AT20" s="77">
        <v>16775.329300589445</v>
      </c>
      <c r="AU20" s="75">
        <v>54828.666666610472</v>
      </c>
      <c r="AV20" s="77">
        <v>166352.25227133188</v>
      </c>
      <c r="AW20" s="78"/>
    </row>
    <row r="21" ht="14.45" customHeight="true" x14ac:dyDescent="0.25">
      <c r="A21" s="23">
        <f t="shared" si="0"/>
        <v>44561</v>
      </c>
      <c r="B21" s="75">
        <v>6485.6911020669222</v>
      </c>
      <c r="C21" s="75">
        <v>31.99</v>
      </c>
      <c r="D21" s="75">
        <v>69.170000000000215</v>
      </c>
      <c r="E21" s="75">
        <v>0</v>
      </c>
      <c r="F21" s="74">
        <v>6026.469614173222</v>
      </c>
      <c r="G21" s="75">
        <v>72.030000000076697</v>
      </c>
      <c r="H21" s="75">
        <v>34.849999999999987</v>
      </c>
      <c r="I21" s="75">
        <v>118.05999999999993</v>
      </c>
      <c r="J21" s="76">
        <v>0</v>
      </c>
      <c r="K21" s="75">
        <v>9280.3153822178392</v>
      </c>
      <c r="L21" s="75">
        <v>4.6799999999999979</v>
      </c>
      <c r="M21" s="75">
        <v>5.200000000000002</v>
      </c>
      <c r="N21" s="74">
        <v>7491.3918575787329</v>
      </c>
      <c r="O21" s="75">
        <v>26.160000000000817</v>
      </c>
      <c r="P21" s="75">
        <v>25.639999999999979</v>
      </c>
      <c r="Q21" s="75">
        <v>60.249999999999993</v>
      </c>
      <c r="R21" s="76">
        <v>0</v>
      </c>
      <c r="S21" s="75">
        <v>6749.6333542978937</v>
      </c>
      <c r="T21" s="75">
        <v>1090.3010752695329</v>
      </c>
      <c r="U21" s="75">
        <v>0</v>
      </c>
      <c r="V21" s="74">
        <v>7645.8921851705945</v>
      </c>
      <c r="W21" s="75">
        <v>6.3400000000000283</v>
      </c>
      <c r="X21" s="76">
        <v>1.8399999999999976</v>
      </c>
      <c r="Y21" s="75">
        <v>6061.2852983923822</v>
      </c>
      <c r="Z21" s="75">
        <v>20.522999999996735</v>
      </c>
      <c r="AA21" s="75">
        <v>25.070000000000011</v>
      </c>
      <c r="AB21" s="79">
        <v>30.679999999999978</v>
      </c>
      <c r="AC21" s="75">
        <v>0</v>
      </c>
      <c r="AD21" s="74">
        <v>3587.0189411745368</v>
      </c>
      <c r="AE21" s="75">
        <v>10552.795363311154</v>
      </c>
      <c r="AF21" s="75">
        <v>486.00699999923626</v>
      </c>
      <c r="AG21" s="75">
        <v>362.53</v>
      </c>
      <c r="AH21" s="75">
        <v>23.160614236931874</v>
      </c>
      <c r="AI21" s="75">
        <v>720.00000000000307</v>
      </c>
      <c r="AJ21" s="76">
        <v>0</v>
      </c>
      <c r="AK21" s="75">
        <v>1085.303377805117</v>
      </c>
      <c r="AL21" s="75">
        <v>491365.91085901984</v>
      </c>
      <c r="AM21" s="75">
        <v>192.95569201500001</v>
      </c>
      <c r="AN21" s="74">
        <v>639.50562092519613</v>
      </c>
      <c r="AO21" s="75">
        <v>351651.72350422869</v>
      </c>
      <c r="AP21" s="76">
        <v>43.498707859200003</v>
      </c>
      <c r="AQ21" s="75">
        <v>446.49999999999949</v>
      </c>
      <c r="AR21" s="75">
        <v>236803.44934673468</v>
      </c>
      <c r="AS21" s="75">
        <v>14671.669389999999</v>
      </c>
      <c r="AT21" s="77">
        <v>12222.665272745455</v>
      </c>
      <c r="AU21" s="75">
        <v>56309.666666665056</v>
      </c>
      <c r="AV21" s="77">
        <v>88260.64446012897</v>
      </c>
      <c r="AW21" s="78"/>
    </row>
    <row r="22" ht="14.45" customHeight="true" x14ac:dyDescent="0.25">
      <c r="A22" s="23">
        <f t="shared" si="0"/>
        <v>44592</v>
      </c>
      <c r="B22" s="75">
        <v>6478.8655121719094</v>
      </c>
      <c r="C22" s="75">
        <v>30.310000000000013</v>
      </c>
      <c r="D22" s="75">
        <v>69.170000000000215</v>
      </c>
      <c r="E22" s="75">
        <v>0</v>
      </c>
      <c r="F22" s="74">
        <v>6025.4222110564242</v>
      </c>
      <c r="G22" s="75">
        <v>79.199999999946698</v>
      </c>
      <c r="H22" s="75">
        <v>40.340000000000011</v>
      </c>
      <c r="I22" s="75">
        <v>118.05999999999993</v>
      </c>
      <c r="J22" s="76">
        <v>0</v>
      </c>
      <c r="K22" s="75">
        <v>9279.3559864829294</v>
      </c>
      <c r="L22" s="75">
        <v>4.3500000000000014</v>
      </c>
      <c r="M22" s="75">
        <v>5.200000000000002</v>
      </c>
      <c r="N22" s="74">
        <v>7487.5783341535353</v>
      </c>
      <c r="O22" s="75">
        <v>25.159999999993815</v>
      </c>
      <c r="P22" s="75">
        <v>24.309999999999974</v>
      </c>
      <c r="Q22" s="75">
        <v>54.54999999999999</v>
      </c>
      <c r="R22" s="76">
        <v>0</v>
      </c>
      <c r="S22" s="75">
        <v>6749.6333542978937</v>
      </c>
      <c r="T22" s="75">
        <v>1000.0389784962963</v>
      </c>
      <c r="U22" s="75">
        <v>0</v>
      </c>
      <c r="V22" s="74">
        <v>7647.390822637788</v>
      </c>
      <c r="W22" s="75">
        <v>5.389999999999997</v>
      </c>
      <c r="X22" s="76">
        <v>1.8399999999999976</v>
      </c>
      <c r="Y22" s="75">
        <v>6060.2725927165293</v>
      </c>
      <c r="Z22" s="75">
        <v>18.369999999991862</v>
      </c>
      <c r="AA22" s="75">
        <v>21.919999999999973</v>
      </c>
      <c r="AB22" s="79">
        <v>30.679999999999978</v>
      </c>
      <c r="AC22" s="75">
        <v>0</v>
      </c>
      <c r="AD22" s="74">
        <v>3582.9292508530143</v>
      </c>
      <c r="AE22" s="75">
        <v>10192.562541493962</v>
      </c>
      <c r="AF22" s="75">
        <v>477.90000000071967</v>
      </c>
      <c r="AG22" s="75">
        <v>361.18000000000006</v>
      </c>
      <c r="AH22" s="75">
        <v>6.9514482179796682</v>
      </c>
      <c r="AI22" s="75">
        <v>860.0000000000025</v>
      </c>
      <c r="AJ22" s="76">
        <v>0</v>
      </c>
      <c r="AK22" s="75">
        <v>1089.6326745964554</v>
      </c>
      <c r="AL22" s="75">
        <v>519253.52898151847</v>
      </c>
      <c r="AM22" s="75">
        <v>206.10374752300001</v>
      </c>
      <c r="AN22" s="74">
        <v>641.79754691929065</v>
      </c>
      <c r="AO22" s="75">
        <v>426696.64632032567</v>
      </c>
      <c r="AP22" s="76">
        <v>53.869948010800002</v>
      </c>
      <c r="AQ22" s="75">
        <v>446.49999999999949</v>
      </c>
      <c r="AR22" s="75">
        <v>255378.56996644376</v>
      </c>
      <c r="AS22" s="75">
        <v>15998.5277646</v>
      </c>
      <c r="AT22" s="77">
        <v>10785.364137203596</v>
      </c>
      <c r="AU22" s="75">
        <v>89889.33333322953</v>
      </c>
      <c r="AV22" s="77">
        <v>90587.050475676282</v>
      </c>
      <c r="AW22" s="78"/>
    </row>
    <row r="23" ht="14.45" customHeight="true" x14ac:dyDescent="0.25">
      <c r="A23" s="23">
        <f t="shared" si="0"/>
        <v>44620</v>
      </c>
      <c r="B23" s="75">
        <v>6471.4741471456618</v>
      </c>
      <c r="C23" s="75">
        <v>27.659999999999979</v>
      </c>
      <c r="D23" s="75">
        <v>62.480000000000224</v>
      </c>
      <c r="E23" s="75">
        <v>0</v>
      </c>
      <c r="F23" s="74">
        <v>6024.657730446188</v>
      </c>
      <c r="G23" s="75">
        <v>79.35999999999656</v>
      </c>
      <c r="H23" s="75">
        <v>44.54</v>
      </c>
      <c r="I23" s="75">
        <v>106.62999999999975</v>
      </c>
      <c r="J23" s="76">
        <v>0</v>
      </c>
      <c r="K23" s="75">
        <v>9278.3210214238734</v>
      </c>
      <c r="L23" s="75">
        <v>3.799999999999998</v>
      </c>
      <c r="M23" s="75">
        <v>4.7</v>
      </c>
      <c r="N23" s="74">
        <v>7485.6194742125908</v>
      </c>
      <c r="O23" s="75">
        <v>23.289999999980928</v>
      </c>
      <c r="P23" s="75">
        <v>22.389999999999986</v>
      </c>
      <c r="Q23" s="75">
        <v>37.990000000000016</v>
      </c>
      <c r="R23" s="76">
        <v>0</v>
      </c>
      <c r="S23" s="75">
        <v>6749.6333542978937</v>
      </c>
      <c r="T23" s="75">
        <v>800.00446428593648</v>
      </c>
      <c r="U23" s="75">
        <v>0</v>
      </c>
      <c r="V23" s="74">
        <v>7648.6530729986789</v>
      </c>
      <c r="W23" s="75">
        <v>4.740000000000002</v>
      </c>
      <c r="X23" s="76">
        <v>1.6699999999999993</v>
      </c>
      <c r="Y23" s="75">
        <v>6060.1306866141667</v>
      </c>
      <c r="Z23" s="75">
        <v>26.850000000022391</v>
      </c>
      <c r="AA23" s="75">
        <v>30.25</v>
      </c>
      <c r="AB23" s="79">
        <v>27.709999999999997</v>
      </c>
      <c r="AC23" s="75">
        <v>0</v>
      </c>
      <c r="AD23" s="74">
        <v>3579.8332974409409</v>
      </c>
      <c r="AE23" s="75">
        <v>9925.2692635033163</v>
      </c>
      <c r="AF23" s="75">
        <v>468.61600000091101</v>
      </c>
      <c r="AG23" s="75">
        <v>392.98999999999978</v>
      </c>
      <c r="AH23" s="75">
        <v>7.2927339954314032</v>
      </c>
      <c r="AI23" s="75">
        <v>750</v>
      </c>
      <c r="AJ23" s="76">
        <v>0</v>
      </c>
      <c r="AK23" s="75">
        <v>1092.7962117454058</v>
      </c>
      <c r="AL23" s="75">
        <v>519648.6734695264</v>
      </c>
      <c r="AM23" s="75">
        <v>205.537510287</v>
      </c>
      <c r="AN23" s="74">
        <v>641.79754691929065</v>
      </c>
      <c r="AO23" s="75">
        <v>499582.75942547305</v>
      </c>
      <c r="AP23" s="76">
        <v>63.1786547938</v>
      </c>
      <c r="AQ23" s="75">
        <v>446.49999999999949</v>
      </c>
      <c r="AR23" s="75">
        <v>393022.47991883603</v>
      </c>
      <c r="AS23" s="75">
        <v>25500.472584399999</v>
      </c>
      <c r="AT23" s="77">
        <v>10867.254290097748</v>
      </c>
      <c r="AU23" s="75">
        <v>16677.333333329174</v>
      </c>
      <c r="AV23" s="77">
        <v>85379.611040820208</v>
      </c>
      <c r="AW23" s="78"/>
    </row>
    <row r="24" ht="14.45" customHeight="true" x14ac:dyDescent="0.25">
      <c r="A24" s="23">
        <f t="shared" si="0"/>
        <v>44651</v>
      </c>
      <c r="B24" s="75">
        <v>6467.4682020013061</v>
      </c>
      <c r="C24" s="75">
        <v>52.600000000000023</v>
      </c>
      <c r="D24" s="75">
        <v>68.98000000000026</v>
      </c>
      <c r="E24" s="75">
        <v>0</v>
      </c>
      <c r="F24" s="74">
        <v>6025.8263222440883</v>
      </c>
      <c r="G24" s="75">
        <v>118.69999999989764</v>
      </c>
      <c r="H24" s="75">
        <v>102.32000000000023</v>
      </c>
      <c r="I24" s="75">
        <v>70.71000000000015</v>
      </c>
      <c r="J24" s="76">
        <v>0</v>
      </c>
      <c r="K24" s="75">
        <v>9277.4318153871282</v>
      </c>
      <c r="L24" s="75">
        <v>4.4399999999999995</v>
      </c>
      <c r="M24" s="75">
        <v>5.200000000000002</v>
      </c>
      <c r="N24" s="74">
        <v>7484.7229499999921</v>
      </c>
      <c r="O24" s="75">
        <v>36.77999999999269</v>
      </c>
      <c r="P24" s="75">
        <v>36.020000000000017</v>
      </c>
      <c r="Q24" s="75">
        <v>43.120000000000005</v>
      </c>
      <c r="R24" s="76">
        <v>0</v>
      </c>
      <c r="S24" s="75">
        <v>6749.6333542978937</v>
      </c>
      <c r="T24" s="75">
        <v>869.28091397910998</v>
      </c>
      <c r="U24" s="75">
        <v>0</v>
      </c>
      <c r="V24" s="74">
        <v>7651.3857329396242</v>
      </c>
      <c r="W24" s="75">
        <v>8.6000000000000245</v>
      </c>
      <c r="X24" s="76">
        <v>1.8399999999999976</v>
      </c>
      <c r="Y24" s="75">
        <v>6063.1480830380515</v>
      </c>
      <c r="Z24" s="75">
        <v>76.887000000036252</v>
      </c>
      <c r="AA24" s="75">
        <v>92.340000000000032</v>
      </c>
      <c r="AB24" s="79">
        <v>30.679999999999978</v>
      </c>
      <c r="AC24" s="75">
        <v>0</v>
      </c>
      <c r="AD24" s="74">
        <v>3577.4520645669254</v>
      </c>
      <c r="AE24" s="75">
        <v>9722.8333172258499</v>
      </c>
      <c r="AF24" s="75">
        <v>593.58699999989858</v>
      </c>
      <c r="AG24" s="75">
        <v>665.37999999999977</v>
      </c>
      <c r="AH24" s="75">
        <v>12.217817155106184</v>
      </c>
      <c r="AI24" s="75">
        <v>800.00000000000273</v>
      </c>
      <c r="AJ24" s="76">
        <v>0</v>
      </c>
      <c r="AK24" s="75">
        <v>1091.4510094783452</v>
      </c>
      <c r="AL24" s="75">
        <v>968485.29717838683</v>
      </c>
      <c r="AM24" s="75">
        <v>394.98795719500004</v>
      </c>
      <c r="AN24" s="74">
        <v>643.05459791010435</v>
      </c>
      <c r="AO24" s="75">
        <v>909562.72295623028</v>
      </c>
      <c r="AP24" s="76">
        <v>113.69809792400001</v>
      </c>
      <c r="AQ24" s="75">
        <v>446.69999999999948</v>
      </c>
      <c r="AR24" s="75">
        <v>637996.26349307562</v>
      </c>
      <c r="AS24" s="75">
        <v>41310.336655799998</v>
      </c>
      <c r="AT24" s="77">
        <v>15159.16030344908</v>
      </c>
      <c r="AU24" s="75">
        <v>85417.333333356306</v>
      </c>
      <c r="AV24" s="77">
        <v>169737.30838272985</v>
      </c>
      <c r="AW24" s="78"/>
    </row>
    <row r="25" ht="14.45" customHeight="true" x14ac:dyDescent="0.25">
      <c r="A25" s="23">
        <f t="shared" si="0"/>
        <v>44681</v>
      </c>
      <c r="B25" s="75">
        <v>6470.2857008530118</v>
      </c>
      <c r="C25" s="75">
        <v>85.429999999999851</v>
      </c>
      <c r="D25" s="75">
        <v>73.189999999999856</v>
      </c>
      <c r="E25" s="75">
        <v>0</v>
      </c>
      <c r="F25" s="74">
        <v>6026.7402109908071</v>
      </c>
      <c r="G25" s="75">
        <v>121.26000000003015</v>
      </c>
      <c r="H25" s="75">
        <v>133.50000000000006</v>
      </c>
      <c r="I25" s="75">
        <v>80.929999999999851</v>
      </c>
      <c r="J25" s="76">
        <v>0</v>
      </c>
      <c r="K25" s="75">
        <v>9275.9480958989407</v>
      </c>
      <c r="L25" s="75">
        <v>8.7600000000000104</v>
      </c>
      <c r="M25" s="75">
        <v>10.000000000000014</v>
      </c>
      <c r="N25" s="74">
        <v>7486.062691338575</v>
      </c>
      <c r="O25" s="75">
        <v>78.319999999959592</v>
      </c>
      <c r="P25" s="75">
        <v>77.079999999999785</v>
      </c>
      <c r="Q25" s="75">
        <v>67.490000000000265</v>
      </c>
      <c r="R25" s="76">
        <v>0</v>
      </c>
      <c r="S25" s="75">
        <v>6749.6333542978937</v>
      </c>
      <c r="T25" s="75">
        <v>1529.9777777776935</v>
      </c>
      <c r="U25" s="75">
        <v>0</v>
      </c>
      <c r="V25" s="74">
        <v>7659.7815265091785</v>
      </c>
      <c r="W25" s="75">
        <v>23.32</v>
      </c>
      <c r="X25" s="76">
        <v>1.7900000000000014</v>
      </c>
      <c r="Y25" s="75">
        <v>6068.6821050852959</v>
      </c>
      <c r="Z25" s="75">
        <v>128.17600000007016</v>
      </c>
      <c r="AA25" s="75">
        <v>170.41999999999993</v>
      </c>
      <c r="AB25" s="79">
        <v>29.690000000000005</v>
      </c>
      <c r="AC25" s="75">
        <v>0</v>
      </c>
      <c r="AD25" s="74">
        <v>3579.2598363517027</v>
      </c>
      <c r="AE25" s="75">
        <v>9876.2700793562944</v>
      </c>
      <c r="AF25" s="75">
        <v>895.16400000057968</v>
      </c>
      <c r="AG25" s="75">
        <v>1055.510000000002</v>
      </c>
      <c r="AH25" s="75">
        <v>19.452300648711912</v>
      </c>
      <c r="AI25" s="75">
        <v>710.0000000000025</v>
      </c>
      <c r="AJ25" s="76">
        <v>0</v>
      </c>
      <c r="AK25" s="75">
        <v>1088.0272570669281</v>
      </c>
      <c r="AL25" s="75">
        <v>1032745.5743541607</v>
      </c>
      <c r="AM25" s="75">
        <v>418.67281209000004</v>
      </c>
      <c r="AN25" s="74">
        <v>642.99981670275531</v>
      </c>
      <c r="AO25" s="75">
        <v>1005049.755703863</v>
      </c>
      <c r="AP25" s="76">
        <v>125.535620833</v>
      </c>
      <c r="AQ25" s="75">
        <v>448.69999999999948</v>
      </c>
      <c r="AR25" s="75">
        <v>707787.93271899887</v>
      </c>
      <c r="AS25" s="75">
        <v>46584.9643058</v>
      </c>
      <c r="AT25" s="77">
        <v>21471.598089383337</v>
      </c>
      <c r="AU25" s="75">
        <v>82479.333333396804</v>
      </c>
      <c r="AV25" s="77">
        <v>163488.55740483722</v>
      </c>
      <c r="AW25" s="78"/>
    </row>
    <row r="26" ht="14.45" customHeight="true" x14ac:dyDescent="0.25">
      <c r="A26" s="23">
        <f t="shared" si="0"/>
        <v>44712</v>
      </c>
      <c r="B26" s="75">
        <v>6484.4875434055048</v>
      </c>
      <c r="C26" s="75">
        <v>163.75000000000014</v>
      </c>
      <c r="D26" s="75">
        <v>90.050000000000153</v>
      </c>
      <c r="E26" s="75">
        <v>0</v>
      </c>
      <c r="F26" s="74">
        <v>6028.112285039364</v>
      </c>
      <c r="G26" s="75">
        <v>171.45999999999788</v>
      </c>
      <c r="H26" s="75">
        <v>245.1600000000002</v>
      </c>
      <c r="I26" s="75">
        <v>109.87999999999988</v>
      </c>
      <c r="J26" s="76">
        <v>0</v>
      </c>
      <c r="K26" s="75">
        <v>9290.7437164041894</v>
      </c>
      <c r="L26" s="75">
        <v>28.279999999999987</v>
      </c>
      <c r="M26" s="75">
        <v>14.000000000000002</v>
      </c>
      <c r="N26" s="74">
        <v>7489.0587445866058</v>
      </c>
      <c r="O26" s="75">
        <v>206.79000000009987</v>
      </c>
      <c r="P26" s="75">
        <v>221.07000000000025</v>
      </c>
      <c r="Q26" s="75">
        <v>182.82000000000005</v>
      </c>
      <c r="R26" s="76">
        <v>0</v>
      </c>
      <c r="S26" s="75">
        <v>6749.6333542978937</v>
      </c>
      <c r="T26" s="75">
        <v>3951.6908602250069</v>
      </c>
      <c r="U26" s="75">
        <v>106.84644628092607</v>
      </c>
      <c r="V26" s="74">
        <v>7664.4713983923812</v>
      </c>
      <c r="W26" s="75">
        <v>71.429999999999836</v>
      </c>
      <c r="X26" s="76">
        <v>58.469999999999992</v>
      </c>
      <c r="Y26" s="75">
        <v>6068.7046839894947</v>
      </c>
      <c r="Z26" s="75">
        <v>227.41700000077134</v>
      </c>
      <c r="AA26" s="75">
        <v>277.11000000000013</v>
      </c>
      <c r="AB26" s="79">
        <v>186.48000000000022</v>
      </c>
      <c r="AC26" s="75">
        <v>0</v>
      </c>
      <c r="AD26" s="74">
        <v>3594.0292250984212</v>
      </c>
      <c r="AE26" s="75">
        <v>11189.202011552341</v>
      </c>
      <c r="AF26" s="75">
        <v>2152.3819999992629</v>
      </c>
      <c r="AG26" s="75">
        <v>2342.9899999999989</v>
      </c>
      <c r="AH26" s="75">
        <v>24.415510679004832</v>
      </c>
      <c r="AI26" s="75">
        <v>710.00000000000011</v>
      </c>
      <c r="AJ26" s="76">
        <v>0</v>
      </c>
      <c r="AK26" s="75">
        <v>1084.6320435662719</v>
      </c>
      <c r="AL26" s="75">
        <v>993319.98986239638</v>
      </c>
      <c r="AM26" s="75">
        <v>387.79785361699999</v>
      </c>
      <c r="AN26" s="74">
        <v>642.99981670275531</v>
      </c>
      <c r="AO26" s="75">
        <v>961319.6767090651</v>
      </c>
      <c r="AP26" s="76">
        <v>120.41079449099999</v>
      </c>
      <c r="AQ26" s="75">
        <v>448.69999999999948</v>
      </c>
      <c r="AR26" s="75">
        <v>705133.50328584423</v>
      </c>
      <c r="AS26" s="75">
        <v>46882.453238000002</v>
      </c>
      <c r="AT26" s="77">
        <v>27987.468254985997</v>
      </c>
      <c r="AU26" s="75">
        <v>74209.33333340635</v>
      </c>
      <c r="AV26" s="77">
        <v>171820.81318884052</v>
      </c>
      <c r="AW26" s="78"/>
    </row>
    <row r="27" x14ac:dyDescent="0.25">
      <c r="A27" s="23">
        <f t="shared" si="0"/>
        <v>44742</v>
      </c>
      <c r="B27" s="75">
        <v>6499.4682370406754</v>
      </c>
      <c r="C27" s="75">
        <v>299.22999999999979</v>
      </c>
      <c r="D27" s="75">
        <v>194.77999999999975</v>
      </c>
      <c r="E27" s="75">
        <v>91.650710859324391</v>
      </c>
      <c r="F27" s="74">
        <v>6029.9829840223038</v>
      </c>
      <c r="G27" s="75">
        <v>285.26000000078648</v>
      </c>
      <c r="H27" s="75">
        <v>389.70999999999987</v>
      </c>
      <c r="I27" s="75">
        <v>200.33000000000013</v>
      </c>
      <c r="J27" s="76">
        <v>0</v>
      </c>
      <c r="K27" s="75">
        <v>9307.0885081036649</v>
      </c>
      <c r="L27" s="75">
        <v>41.72000000000002</v>
      </c>
      <c r="M27" s="75">
        <v>19.999999999999975</v>
      </c>
      <c r="N27" s="74">
        <v>7512.8251702755824</v>
      </c>
      <c r="O27" s="75">
        <v>239.33000000091434</v>
      </c>
      <c r="P27" s="75">
        <v>261.04999999999984</v>
      </c>
      <c r="Q27" s="75">
        <v>41.409999999999975</v>
      </c>
      <c r="R27" s="76">
        <v>0</v>
      </c>
      <c r="S27" s="75">
        <v>6749.6333542978937</v>
      </c>
      <c r="T27" s="75">
        <v>1600.0569444445296</v>
      </c>
      <c r="U27" s="75">
        <v>0</v>
      </c>
      <c r="V27" s="74">
        <v>7664.2914492125901</v>
      </c>
      <c r="W27" s="75">
        <v>70.349999999999724</v>
      </c>
      <c r="X27" s="76">
        <v>70.250000000000071</v>
      </c>
      <c r="Y27" s="75">
        <v>6058.0208617125918</v>
      </c>
      <c r="Z27" s="75">
        <v>194.68999999990234</v>
      </c>
      <c r="AA27" s="75">
        <v>223.57000000000002</v>
      </c>
      <c r="AB27" s="79">
        <v>276.47000000000008</v>
      </c>
      <c r="AC27" s="75">
        <v>0</v>
      </c>
      <c r="AD27" s="74">
        <v>3609.408005150915</v>
      </c>
      <c r="AE27" s="75">
        <v>12670.808412935283</v>
      </c>
      <c r="AF27" s="75">
        <v>2392.4750000076974</v>
      </c>
      <c r="AG27" s="75">
        <v>2666.0499999999984</v>
      </c>
      <c r="AH27" s="75">
        <v>42.340083408717369</v>
      </c>
      <c r="AI27" s="75">
        <v>750.00000000000114</v>
      </c>
      <c r="AJ27" s="76">
        <v>0</v>
      </c>
      <c r="AK27" s="75">
        <v>1081.8303308464556</v>
      </c>
      <c r="AL27" s="75">
        <v>947276.73982303648</v>
      </c>
      <c r="AM27" s="75">
        <v>369.65797399899998</v>
      </c>
      <c r="AN27" s="74">
        <v>642.99981670275531</v>
      </c>
      <c r="AO27" s="75">
        <v>907066.82483705017</v>
      </c>
      <c r="AP27" s="76">
        <v>113.727418937</v>
      </c>
      <c r="AQ27" s="75">
        <v>448.69999999999948</v>
      </c>
      <c r="AR27" s="75">
        <v>717551.92434777715</v>
      </c>
      <c r="AS27" s="75">
        <v>47778.873962400001</v>
      </c>
      <c r="AT27" s="77">
        <v>28081.426430512434</v>
      </c>
      <c r="AU27" s="75">
        <v>71633.333333232411</v>
      </c>
      <c r="AV27" s="77">
        <v>99959.736082482385</v>
      </c>
      <c r="AW27" s="78"/>
    </row>
    <row r="28" x14ac:dyDescent="0.25">
      <c r="A28" s="23">
        <f t="shared" si="0"/>
        <v>44773</v>
      </c>
      <c r="B28" s="11">
        <v>6503.4768365813579</v>
      </c>
      <c r="C28" s="11">
        <v>177.52000000000007</v>
      </c>
      <c r="D28" s="11">
        <v>144.09999999999988</v>
      </c>
      <c r="E28" s="11">
        <v>42.107000243907386</v>
      </c>
      <c r="F28" s="10">
        <v>6032.2605505905449</v>
      </c>
      <c r="G28" s="11">
        <v>176.75000000009791</v>
      </c>
      <c r="H28" s="11">
        <v>210.1699999999999</v>
      </c>
      <c r="I28" s="11">
        <v>70.610000000000227</v>
      </c>
      <c r="J28" s="12">
        <v>0</v>
      </c>
      <c r="K28" s="11">
        <v>9304.843153477681</v>
      </c>
      <c r="L28" s="11">
        <v>20.140000000000033</v>
      </c>
      <c r="M28" s="11">
        <v>23.499999999999993</v>
      </c>
      <c r="N28" s="10">
        <v>7516.0487762795201</v>
      </c>
      <c r="O28" s="11">
        <v>120.21000000001895</v>
      </c>
      <c r="P28" s="11">
        <v>116.84999999999992</v>
      </c>
      <c r="Q28" s="11">
        <v>89.899999999999707</v>
      </c>
      <c r="R28" s="12">
        <v>0</v>
      </c>
      <c r="S28" s="11">
        <v>6749.6333542978937</v>
      </c>
      <c r="T28" s="11">
        <v>1800.0376344094866</v>
      </c>
      <c r="U28" s="11">
        <v>0</v>
      </c>
      <c r="V28" s="10">
        <v>7659.3394388451361</v>
      </c>
      <c r="W28" s="11">
        <v>29.009999999999987</v>
      </c>
      <c r="X28" s="12">
        <v>41.54</v>
      </c>
      <c r="Y28" s="11">
        <v>6055.2104718175788</v>
      </c>
      <c r="Z28" s="11">
        <v>73.706999999974897</v>
      </c>
      <c r="AA28" s="11">
        <v>65.989999999999853</v>
      </c>
      <c r="AB28" s="41">
        <v>46.560000000000024</v>
      </c>
      <c r="AC28" s="11">
        <v>0</v>
      </c>
      <c r="AD28" s="10">
        <v>3609.9950997703377</v>
      </c>
      <c r="AE28" s="11">
        <v>12729.802400268474</v>
      </c>
      <c r="AF28" s="11">
        <v>967.36300000038307</v>
      </c>
      <c r="AG28" s="11">
        <v>1090.8399999999995</v>
      </c>
      <c r="AH28" s="11">
        <v>53.649495169766155</v>
      </c>
      <c r="AI28" s="11">
        <v>849.99999999999932</v>
      </c>
      <c r="AJ28" s="12">
        <v>0</v>
      </c>
      <c r="AK28" s="11">
        <v>1081.8374736778203</v>
      </c>
      <c r="AL28" s="11">
        <v>827005.15076903673</v>
      </c>
      <c r="AM28" s="11">
        <v>322.77862821000002</v>
      </c>
      <c r="AN28" s="10">
        <v>641.99704448162663</v>
      </c>
      <c r="AO28" s="11">
        <v>817131.15663320292</v>
      </c>
      <c r="AP28" s="12">
        <v>102.595634643</v>
      </c>
      <c r="AQ28" s="11">
        <v>447.99999999999949</v>
      </c>
      <c r="AR28" s="11">
        <v>692601.83763852564</v>
      </c>
      <c r="AS28" s="11">
        <v>45846.450231000003</v>
      </c>
      <c r="AT28" s="13">
        <v>28576.215354325712</v>
      </c>
      <c r="AU28" s="11">
        <v>74202.333333231058</v>
      </c>
      <c r="AV28" s="13">
        <v>52052.351344924296</v>
      </c>
      <c r="AW28" s="78"/>
    </row>
    <row r="29" x14ac:dyDescent="0.25">
      <c r="A29" s="23">
        <f t="shared" si="0"/>
        <v>44804</v>
      </c>
      <c r="B29" s="11">
        <v>6502.3766524934317</v>
      </c>
      <c r="C29" s="11">
        <v>76.510000000000318</v>
      </c>
      <c r="D29" s="11">
        <v>82.81</v>
      </c>
      <c r="E29" s="11">
        <v>0</v>
      </c>
      <c r="F29" s="10">
        <v>6032.1730217847708</v>
      </c>
      <c r="G29" s="11">
        <v>94.929999999998245</v>
      </c>
      <c r="H29" s="11">
        <v>88.629999999999896</v>
      </c>
      <c r="I29" s="11">
        <v>85.490000000000222</v>
      </c>
      <c r="J29" s="12">
        <v>0</v>
      </c>
      <c r="K29" s="11">
        <v>9298.6231093503848</v>
      </c>
      <c r="L29" s="11">
        <v>10.299999999999986</v>
      </c>
      <c r="M29" s="11">
        <v>18.999999999999979</v>
      </c>
      <c r="N29" s="10">
        <v>7512.8904072178402</v>
      </c>
      <c r="O29" s="11">
        <v>72.160000000105853</v>
      </c>
      <c r="P29" s="11">
        <v>63.460000000000093</v>
      </c>
      <c r="Q29" s="11">
        <v>99.13</v>
      </c>
      <c r="R29" s="12">
        <v>0</v>
      </c>
      <c r="S29" s="11">
        <v>6749.6333542978937</v>
      </c>
      <c r="T29" s="11">
        <v>1800.0376344094866</v>
      </c>
      <c r="U29" s="11">
        <v>0</v>
      </c>
      <c r="V29" s="10">
        <v>7652.0303634186275</v>
      </c>
      <c r="W29" s="11">
        <v>19.799999999999976</v>
      </c>
      <c r="X29" s="12">
        <v>37.810000000000016</v>
      </c>
      <c r="Y29" s="11">
        <v>6053.4421297572117</v>
      </c>
      <c r="Z29" s="11">
        <v>61.096000000101327</v>
      </c>
      <c r="AA29" s="11">
        <v>45.090000000000032</v>
      </c>
      <c r="AB29" s="41">
        <v>30.679999999999978</v>
      </c>
      <c r="AC29" s="11">
        <v>0</v>
      </c>
      <c r="AD29" s="10">
        <v>3606.4237946850353</v>
      </c>
      <c r="AE29" s="11">
        <v>12373.70006067235</v>
      </c>
      <c r="AF29" s="11">
        <v>568.49099999983218</v>
      </c>
      <c r="AG29" s="11">
        <v>499.88000000000005</v>
      </c>
      <c r="AH29" s="11">
        <v>53.081517536878621</v>
      </c>
      <c r="AI29" s="11">
        <v>900.00000000000216</v>
      </c>
      <c r="AJ29" s="12">
        <v>0</v>
      </c>
      <c r="AK29" s="11">
        <v>1083.0145074081354</v>
      </c>
      <c r="AL29" s="11">
        <v>785459.91160276835</v>
      </c>
      <c r="AM29" s="11">
        <v>305.56174307800006</v>
      </c>
      <c r="AN29" s="10">
        <v>641.99704448162663</v>
      </c>
      <c r="AO29" s="11">
        <v>750589.58740324376</v>
      </c>
      <c r="AP29" s="12">
        <v>94.174334312100015</v>
      </c>
      <c r="AQ29" s="11">
        <v>447.50000000328043</v>
      </c>
      <c r="AR29" s="11">
        <v>622801.01914086193</v>
      </c>
      <c r="AS29" s="11">
        <v>40817.0760734</v>
      </c>
      <c r="AT29" s="13">
        <v>29056.350250718766</v>
      </c>
      <c r="AU29" s="11">
        <v>74202.333333231058</v>
      </c>
      <c r="AV29" s="13">
        <v>52052.351344924296</v>
      </c>
      <c r="AW29" s="78"/>
    </row>
    <row r="30" x14ac:dyDescent="0.25">
      <c r="A30" s="23">
        <f t="shared" si="0"/>
        <v>44834</v>
      </c>
      <c r="B30" s="11">
        <v>6498.7735421587859</v>
      </c>
      <c r="C30" s="11">
        <v>45.86999999999999</v>
      </c>
      <c r="D30" s="11">
        <v>71.400000000000119</v>
      </c>
      <c r="E30" s="11">
        <v>0</v>
      </c>
      <c r="F30" s="10">
        <v>6031.6825273950071</v>
      </c>
      <c r="G30" s="11">
        <v>80.640000000045333</v>
      </c>
      <c r="H30" s="11">
        <v>55.110000000000021</v>
      </c>
      <c r="I30" s="11">
        <v>89.159999999999712</v>
      </c>
      <c r="J30" s="12">
        <v>0</v>
      </c>
      <c r="K30" s="11">
        <v>9290.3246827755811</v>
      </c>
      <c r="L30" s="11">
        <v>7.3700000000000259</v>
      </c>
      <c r="M30" s="11">
        <v>17.499999999999968</v>
      </c>
      <c r="N30" s="10">
        <v>7506.9951460629845</v>
      </c>
      <c r="O30" s="11">
        <v>48.169999999925992</v>
      </c>
      <c r="P30" s="11">
        <v>38.040000000000006</v>
      </c>
      <c r="Q30" s="11">
        <v>98.340000000000302</v>
      </c>
      <c r="R30" s="12">
        <v>0</v>
      </c>
      <c r="S30" s="11">
        <v>6749.6333542978937</v>
      </c>
      <c r="T30" s="11">
        <v>1800.0430555569121</v>
      </c>
      <c r="U30" s="11">
        <v>59.140626963623845</v>
      </c>
      <c r="V30" s="10">
        <v>7647.1127360892306</v>
      </c>
      <c r="W30" s="11">
        <v>17.470000000000006</v>
      </c>
      <c r="X30" s="12">
        <v>28.880000000000003</v>
      </c>
      <c r="Y30" s="11">
        <v>6052.9658217519618</v>
      </c>
      <c r="Z30" s="11">
        <v>52.847000000041305</v>
      </c>
      <c r="AA30" s="11">
        <v>43.189999999999991</v>
      </c>
      <c r="AB30" s="41">
        <v>29.690000000000005</v>
      </c>
      <c r="AC30" s="11">
        <v>0</v>
      </c>
      <c r="AD30" s="10">
        <v>3604.5290588254552</v>
      </c>
      <c r="AE30" s="11">
        <v>12187.492627122561</v>
      </c>
      <c r="AF30" s="11">
        <v>517.08300000079703</v>
      </c>
      <c r="AG30" s="11">
        <v>408.20999999999992</v>
      </c>
      <c r="AH30" s="11">
        <v>48.18702343568971</v>
      </c>
      <c r="AI30" s="11">
        <v>669.99999999999784</v>
      </c>
      <c r="AJ30" s="12">
        <v>0</v>
      </c>
      <c r="AK30" s="11">
        <v>1082.4227507283454</v>
      </c>
      <c r="AL30" s="11">
        <v>713643.93821490288</v>
      </c>
      <c r="AM30" s="11">
        <v>276.26602822899997</v>
      </c>
      <c r="AN30" s="10">
        <v>640.00753110564244</v>
      </c>
      <c r="AO30" s="11">
        <v>734656.72853159986</v>
      </c>
      <c r="AP30" s="12">
        <v>91.483107602100006</v>
      </c>
      <c r="AQ30" s="11">
        <v>447.49999999999949</v>
      </c>
      <c r="AR30" s="11">
        <v>529610.88653639157</v>
      </c>
      <c r="AS30" s="11">
        <v>34460.645736300001</v>
      </c>
      <c r="AT30" s="13">
        <v>25083.3848328764</v>
      </c>
      <c r="AU30" s="11">
        <v>56163.333333281174</v>
      </c>
      <c r="AV30" s="13">
        <v>140577.05829921638</v>
      </c>
      <c r="AW30" s="78"/>
    </row>
    <row r="31" x14ac:dyDescent="0.25">
      <c r="A31" s="23">
        <f t="shared" si="0"/>
        <v>44865</v>
      </c>
      <c r="B31" s="11"/>
      <c r="C31" s="11"/>
      <c r="D31" s="11"/>
      <c r="E31" s="11"/>
      <c r="F31" s="10"/>
      <c r="G31" s="11"/>
      <c r="H31" s="11"/>
      <c r="I31" s="11"/>
      <c r="J31" s="12"/>
      <c r="K31" s="11"/>
      <c r="L31" s="11"/>
      <c r="M31" s="11"/>
      <c r="N31" s="10"/>
      <c r="O31" s="11"/>
      <c r="P31" s="11"/>
      <c r="Q31" s="11"/>
      <c r="R31" s="12"/>
      <c r="S31" s="11"/>
      <c r="T31" s="11"/>
      <c r="U31" s="11"/>
      <c r="V31" s="10"/>
      <c r="W31" s="11"/>
      <c r="X31" s="12"/>
      <c r="Y31" s="11"/>
      <c r="Z31" s="11"/>
      <c r="AA31" s="11"/>
      <c r="AB31" s="41"/>
      <c r="AC31" s="11"/>
      <c r="AD31" s="10"/>
      <c r="AE31" s="11"/>
      <c r="AF31" s="11"/>
      <c r="AG31" s="11"/>
      <c r="AH31" s="11"/>
      <c r="AI31" s="11"/>
      <c r="AJ31" s="12"/>
      <c r="AK31" s="11"/>
      <c r="AL31" s="11"/>
      <c r="AM31" s="11"/>
      <c r="AN31" s="10"/>
      <c r="AO31" s="11"/>
      <c r="AP31" s="12"/>
      <c r="AQ31" s="11"/>
      <c r="AR31" s="11"/>
      <c r="AS31" s="11"/>
      <c r="AT31" s="13"/>
      <c r="AU31" s="11"/>
      <c r="AV31" s="13"/>
      <c r="AW31" s="78"/>
    </row>
    <row r="32" x14ac:dyDescent="0.25">
      <c r="A32" s="23">
        <f t="shared" si="0"/>
        <v>44895</v>
      </c>
      <c r="B32" s="11"/>
      <c r="C32" s="11"/>
      <c r="D32" s="11"/>
      <c r="E32" s="11"/>
      <c r="F32" s="10"/>
      <c r="G32" s="11"/>
      <c r="H32" s="11"/>
      <c r="I32" s="11"/>
      <c r="J32" s="12"/>
      <c r="K32" s="11"/>
      <c r="L32" s="11"/>
      <c r="M32" s="11"/>
      <c r="N32" s="10"/>
      <c r="O32" s="11"/>
      <c r="P32" s="11"/>
      <c r="Q32" s="11"/>
      <c r="R32" s="12"/>
      <c r="S32" s="11"/>
      <c r="T32" s="11"/>
      <c r="U32" s="11"/>
      <c r="V32" s="10"/>
      <c r="W32" s="11"/>
      <c r="X32" s="12"/>
      <c r="Y32" s="11"/>
      <c r="Z32" s="11"/>
      <c r="AA32" s="11"/>
      <c r="AB32" s="41"/>
      <c r="AC32" s="11"/>
      <c r="AD32" s="10"/>
      <c r="AE32" s="11"/>
      <c r="AF32" s="11"/>
      <c r="AG32" s="11"/>
      <c r="AH32" s="11"/>
      <c r="AI32" s="11"/>
      <c r="AJ32" s="12"/>
      <c r="AK32" s="11"/>
      <c r="AL32" s="11"/>
      <c r="AM32" s="11"/>
      <c r="AN32" s="10"/>
      <c r="AO32" s="11"/>
      <c r="AP32" s="12"/>
      <c r="AQ32" s="11"/>
      <c r="AR32" s="11"/>
      <c r="AS32" s="11"/>
      <c r="AT32" s="13"/>
      <c r="AU32" s="11"/>
      <c r="AV32" s="13"/>
      <c r="AW32" s="78"/>
    </row>
    <row r="33" x14ac:dyDescent="0.25">
      <c r="A33" s="23">
        <f t="shared" si="0"/>
        <v>44926</v>
      </c>
      <c r="B33" s="11"/>
      <c r="C33" s="11"/>
      <c r="D33" s="11"/>
      <c r="E33" s="11"/>
      <c r="F33" s="10"/>
      <c r="G33" s="11"/>
      <c r="H33" s="11"/>
      <c r="I33" s="11"/>
      <c r="J33" s="12"/>
      <c r="K33" s="11"/>
      <c r="L33" s="11"/>
      <c r="M33" s="11"/>
      <c r="N33" s="10"/>
      <c r="O33" s="11"/>
      <c r="P33" s="11"/>
      <c r="Q33" s="11"/>
      <c r="R33" s="12"/>
      <c r="S33" s="11"/>
      <c r="T33" s="11"/>
      <c r="U33" s="11"/>
      <c r="V33" s="10"/>
      <c r="W33" s="11"/>
      <c r="X33" s="12"/>
      <c r="Y33" s="11"/>
      <c r="Z33" s="11"/>
      <c r="AA33" s="11"/>
      <c r="AB33" s="41"/>
      <c r="AC33" s="11"/>
      <c r="AD33" s="10"/>
      <c r="AE33" s="11"/>
      <c r="AF33" s="11"/>
      <c r="AG33" s="11"/>
      <c r="AH33" s="11"/>
      <c r="AI33" s="11"/>
      <c r="AJ33" s="12"/>
      <c r="AK33" s="11"/>
      <c r="AL33" s="11"/>
      <c r="AM33" s="11"/>
      <c r="AN33" s="10"/>
      <c r="AO33" s="11"/>
      <c r="AP33" s="12"/>
      <c r="AQ33" s="11"/>
      <c r="AR33" s="11"/>
      <c r="AS33" s="11"/>
      <c r="AT33" s="13"/>
      <c r="AU33" s="11"/>
      <c r="AV33" s="13"/>
      <c r="AW33" s="78"/>
    </row>
    <row r="34" x14ac:dyDescent="0.25">
      <c r="A34" s="23">
        <f t="shared" si="0"/>
        <v>44957</v>
      </c>
      <c r="B34" s="11"/>
      <c r="C34" s="11"/>
      <c r="D34" s="11"/>
      <c r="E34" s="11"/>
      <c r="F34" s="10"/>
      <c r="G34" s="11"/>
      <c r="H34" s="11"/>
      <c r="I34" s="11"/>
      <c r="J34" s="12"/>
      <c r="K34" s="11"/>
      <c r="L34" s="11"/>
      <c r="M34" s="11"/>
      <c r="N34" s="10"/>
      <c r="O34" s="11"/>
      <c r="P34" s="11"/>
      <c r="Q34" s="11"/>
      <c r="R34" s="12"/>
      <c r="S34" s="11"/>
      <c r="T34" s="11"/>
      <c r="U34" s="11"/>
      <c r="V34" s="10"/>
      <c r="W34" s="11"/>
      <c r="X34" s="12"/>
      <c r="Y34" s="11"/>
      <c r="Z34" s="11"/>
      <c r="AA34" s="11"/>
      <c r="AB34" s="41"/>
      <c r="AC34" s="11"/>
      <c r="AD34" s="10"/>
      <c r="AE34" s="11"/>
      <c r="AF34" s="11"/>
      <c r="AG34" s="11"/>
      <c r="AH34" s="11"/>
      <c r="AI34" s="11"/>
      <c r="AJ34" s="12"/>
      <c r="AK34" s="11"/>
      <c r="AL34" s="11"/>
      <c r="AM34" s="11"/>
      <c r="AN34" s="10"/>
      <c r="AO34" s="11"/>
      <c r="AP34" s="12"/>
      <c r="AQ34" s="11"/>
      <c r="AR34" s="11"/>
      <c r="AS34" s="11"/>
      <c r="AT34" s="13"/>
      <c r="AU34" s="11"/>
      <c r="AV34" s="13"/>
      <c r="AW34" s="78"/>
    </row>
    <row r="35" x14ac:dyDescent="0.25">
      <c r="A35" s="24">
        <f t="shared" si="0"/>
        <v>44985</v>
      </c>
      <c r="B35" s="15"/>
      <c r="C35" s="15"/>
      <c r="D35" s="15"/>
      <c r="E35" s="15"/>
      <c r="F35" s="14"/>
      <c r="G35" s="15"/>
      <c r="H35" s="15"/>
      <c r="I35" s="15"/>
      <c r="J35" s="16"/>
      <c r="K35" s="15"/>
      <c r="L35" s="15"/>
      <c r="M35" s="15"/>
      <c r="N35" s="14"/>
      <c r="O35" s="15"/>
      <c r="P35" s="15"/>
      <c r="Q35" s="15"/>
      <c r="R35" s="16"/>
      <c r="S35" s="15"/>
      <c r="T35" s="15"/>
      <c r="U35" s="15"/>
      <c r="V35" s="14"/>
      <c r="W35" s="15"/>
      <c r="X35" s="16"/>
      <c r="Y35" s="15"/>
      <c r="Z35" s="15"/>
      <c r="AA35" s="15"/>
      <c r="AB35" s="42"/>
      <c r="AC35" s="15"/>
      <c r="AD35" s="14"/>
      <c r="AE35" s="15"/>
      <c r="AF35" s="15"/>
      <c r="AG35" s="15"/>
      <c r="AH35" s="15"/>
      <c r="AI35" s="15"/>
      <c r="AJ35" s="16"/>
      <c r="AK35" s="15"/>
      <c r="AL35" s="15"/>
      <c r="AM35" s="15"/>
      <c r="AN35" s="14"/>
      <c r="AO35" s="15"/>
      <c r="AP35" s="16"/>
      <c r="AQ35" s="15"/>
      <c r="AR35" s="15"/>
      <c r="AS35" s="15"/>
      <c r="AT35" s="17"/>
      <c r="AU35" s="15"/>
      <c r="AV35" s="17"/>
      <c r="AW35" s="78"/>
    </row>
  </sheetData>
  <mergeCells count="13">
    <mergeCell ref="B1:Y1"/>
    <mergeCell ref="AB1:AV1"/>
    <mergeCell ref="V2:X2"/>
    <mergeCell ref="B2:E2"/>
    <mergeCell ref="F2:J2"/>
    <mergeCell ref="K2:M2"/>
    <mergeCell ref="N2:R2"/>
    <mergeCell ref="S2:U2"/>
    <mergeCell ref="Y2:AC2"/>
    <mergeCell ref="AD2:AJ2"/>
    <mergeCell ref="AK2:AM2"/>
    <mergeCell ref="AN2:AP2"/>
    <mergeCell ref="AQ2:AS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V35"/>
  <sheetViews>
    <sheetView tabSelected="true" zoomScale="90" zoomScaleNormal="90" workbookViewId="0">
      <pane xSplit="1" ySplit="3" topLeftCell="W4" activePane="bottomRight" state="frozen"/>
      <selection pane="topRight" activeCell="B1" sqref="B1"/>
      <selection pane="bottomLeft" activeCell="A4" sqref="A4"/>
      <selection pane="bottomRight" activeCell="B4" sqref="B4:AV30"/>
    </sheetView>
  </sheetViews>
  <sheetFormatPr defaultRowHeight="15" x14ac:dyDescent="0.25"/>
  <cols>
    <col min="1" max="1" width="13.28515625" customWidth="true"/>
    <col min="2" max="3" width="10" customWidth="true"/>
    <col min="4" max="4" width="10.140625" customWidth="true"/>
    <col min="5" max="6" width="9.28515625" bestFit="true" customWidth="true"/>
    <col min="7" max="8" width="9.28515625" customWidth="true"/>
    <col min="9" max="11" width="9.28515625" bestFit="true" customWidth="true"/>
    <col min="12" max="12" width="9.28515625" customWidth="true"/>
    <col min="13" max="14" width="9.28515625" bestFit="true" customWidth="true"/>
    <col min="15" max="16" width="9.28515625" customWidth="true"/>
    <col min="17" max="19" width="9.28515625" bestFit="true" customWidth="true"/>
    <col min="20" max="20" width="10.5703125" bestFit="true" customWidth="true"/>
    <col min="21" max="22" width="9.28515625" bestFit="true" customWidth="true"/>
    <col min="23" max="23" width="9.28515625" customWidth="true"/>
    <col min="24" max="25" width="9.28515625" bestFit="true" customWidth="true"/>
    <col min="26" max="27" width="9.28515625" customWidth="true"/>
    <col min="28" max="30" width="9.28515625" bestFit="true" customWidth="true"/>
    <col min="31" max="34" width="9.28515625" customWidth="true"/>
    <col min="35" max="37" width="9.28515625" bestFit="true" customWidth="true"/>
    <col min="38" max="38" width="11.5703125" bestFit="true" customWidth="true"/>
    <col min="39" max="40" width="9.28515625" bestFit="true" customWidth="true"/>
    <col min="41" max="41" width="11.5703125" bestFit="true" customWidth="true"/>
    <col min="42" max="43" width="9.28515625" bestFit="true" customWidth="true"/>
    <col min="44" max="44" width="10.5703125" bestFit="true" customWidth="true"/>
    <col min="45" max="45" width="9.5703125" bestFit="true" customWidth="true"/>
    <col min="46" max="46" width="21.85546875" customWidth="true"/>
    <col min="47" max="47" width="19.140625" customWidth="true"/>
    <col min="48" max="48" width="20.85546875" customWidth="true"/>
  </cols>
  <sheetData>
    <row r="1" ht="18.75" x14ac:dyDescent="0.3">
      <c r="A1" s="36"/>
      <c r="B1" s="120" t="s">
        <v>99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61"/>
      <c r="AA1" s="61"/>
      <c r="AB1" s="120" t="s">
        <v>62</v>
      </c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1"/>
    </row>
    <row r="2" x14ac:dyDescent="0.25">
      <c r="A2" s="30"/>
      <c r="B2" s="122" t="s">
        <v>7</v>
      </c>
      <c r="C2" s="123"/>
      <c r="D2" s="123"/>
      <c r="E2" s="123"/>
      <c r="F2" s="122" t="s">
        <v>6</v>
      </c>
      <c r="G2" s="123"/>
      <c r="H2" s="123"/>
      <c r="I2" s="123"/>
      <c r="J2" s="124"/>
      <c r="K2" s="123" t="s">
        <v>5</v>
      </c>
      <c r="L2" s="123"/>
      <c r="M2" s="123"/>
      <c r="N2" s="122" t="s">
        <v>4</v>
      </c>
      <c r="O2" s="123"/>
      <c r="P2" s="123"/>
      <c r="Q2" s="123"/>
      <c r="R2" s="124"/>
      <c r="S2" s="123" t="s">
        <v>8</v>
      </c>
      <c r="T2" s="123"/>
      <c r="U2" s="123"/>
      <c r="V2" s="122" t="s">
        <v>9</v>
      </c>
      <c r="W2" s="123"/>
      <c r="X2" s="124"/>
      <c r="Y2" s="123" t="s">
        <v>10</v>
      </c>
      <c r="Z2" s="123"/>
      <c r="AA2" s="123"/>
      <c r="AB2" s="123"/>
      <c r="AC2" s="123"/>
      <c r="AD2" s="122" t="s">
        <v>11</v>
      </c>
      <c r="AE2" s="123"/>
      <c r="AF2" s="123"/>
      <c r="AG2" s="123"/>
      <c r="AH2" s="123"/>
      <c r="AI2" s="123"/>
      <c r="AJ2" s="124"/>
      <c r="AK2" s="123" t="s">
        <v>12</v>
      </c>
      <c r="AL2" s="123"/>
      <c r="AM2" s="123"/>
      <c r="AN2" s="122" t="s">
        <v>14</v>
      </c>
      <c r="AO2" s="123"/>
      <c r="AP2" s="124"/>
      <c r="AQ2" s="123" t="s">
        <v>15</v>
      </c>
      <c r="AR2" s="123"/>
      <c r="AS2" s="123"/>
      <c r="AT2" s="3" t="s">
        <v>16</v>
      </c>
      <c r="AU2" s="25" t="s">
        <v>17</v>
      </c>
      <c r="AV2" s="3" t="s">
        <v>18</v>
      </c>
    </row>
    <row r="3" x14ac:dyDescent="0.25">
      <c r="A3" s="31"/>
      <c r="B3" s="26" t="s">
        <v>1</v>
      </c>
      <c r="C3" s="27" t="s">
        <v>134</v>
      </c>
      <c r="D3" s="27" t="s">
        <v>2</v>
      </c>
      <c r="E3" s="27" t="s">
        <v>3</v>
      </c>
      <c r="F3" s="26" t="s">
        <v>1</v>
      </c>
      <c r="G3" s="27" t="s">
        <v>134</v>
      </c>
      <c r="H3" s="27" t="s">
        <v>135</v>
      </c>
      <c r="I3" s="27" t="s">
        <v>2</v>
      </c>
      <c r="J3" s="28" t="s">
        <v>3</v>
      </c>
      <c r="K3" s="27" t="s">
        <v>1</v>
      </c>
      <c r="L3" s="27" t="s">
        <v>134</v>
      </c>
      <c r="M3" s="27" t="s">
        <v>2</v>
      </c>
      <c r="N3" s="26" t="s">
        <v>1</v>
      </c>
      <c r="O3" s="27" t="s">
        <v>134</v>
      </c>
      <c r="P3" s="27" t="s">
        <v>135</v>
      </c>
      <c r="Q3" s="27" t="s">
        <v>2</v>
      </c>
      <c r="R3" s="28" t="s">
        <v>3</v>
      </c>
      <c r="S3" s="27" t="s">
        <v>1</v>
      </c>
      <c r="T3" s="27" t="s">
        <v>2</v>
      </c>
      <c r="U3" s="27" t="s">
        <v>3</v>
      </c>
      <c r="V3" s="26" t="s">
        <v>1</v>
      </c>
      <c r="W3" s="27" t="s">
        <v>134</v>
      </c>
      <c r="X3" s="28" t="s">
        <v>2</v>
      </c>
      <c r="Y3" s="27" t="s">
        <v>1</v>
      </c>
      <c r="Z3" s="27" t="s">
        <v>134</v>
      </c>
      <c r="AA3" s="27" t="s">
        <v>135</v>
      </c>
      <c r="AB3" s="27" t="s">
        <v>2</v>
      </c>
      <c r="AC3" s="27" t="s">
        <v>3</v>
      </c>
      <c r="AD3" s="26" t="s">
        <v>1</v>
      </c>
      <c r="AE3" s="27" t="s">
        <v>136</v>
      </c>
      <c r="AF3" s="27" t="s">
        <v>134</v>
      </c>
      <c r="AG3" s="27" t="s">
        <v>135</v>
      </c>
      <c r="AH3" s="27" t="s">
        <v>137</v>
      </c>
      <c r="AI3" s="27" t="s">
        <v>2</v>
      </c>
      <c r="AJ3" s="28" t="s">
        <v>3</v>
      </c>
      <c r="AK3" s="27" t="s">
        <v>1</v>
      </c>
      <c r="AL3" s="27" t="s">
        <v>2</v>
      </c>
      <c r="AM3" s="27" t="s">
        <v>13</v>
      </c>
      <c r="AN3" s="26" t="s">
        <v>1</v>
      </c>
      <c r="AO3" s="27" t="s">
        <v>2</v>
      </c>
      <c r="AP3" s="28" t="s">
        <v>13</v>
      </c>
      <c r="AQ3" s="27" t="s">
        <v>1</v>
      </c>
      <c r="AR3" s="27" t="s">
        <v>2</v>
      </c>
      <c r="AS3" s="27" t="s">
        <v>13</v>
      </c>
      <c r="AT3" s="29" t="s">
        <v>19</v>
      </c>
      <c r="AU3" s="27" t="s">
        <v>19</v>
      </c>
      <c r="AV3" s="29" t="s">
        <v>19</v>
      </c>
    </row>
    <row r="4" x14ac:dyDescent="0.25">
      <c r="A4" s="32">
        <f>RunInformation!AD5</f>
        <v>44043</v>
      </c>
      <c r="B4" s="6">
        <v>6505.4999999999936</v>
      </c>
      <c r="C4" s="7">
        <v>138.00000000000003</v>
      </c>
      <c r="D4" s="7">
        <v>103.40690549995384</v>
      </c>
      <c r="E4" s="7">
        <v>3.3002752333763743</v>
      </c>
      <c r="F4" s="6">
        <v>6024.9532062335893</v>
      </c>
      <c r="G4" s="7">
        <v>115.40690550003788</v>
      </c>
      <c r="H4" s="7">
        <v>149.99999999999997</v>
      </c>
      <c r="I4" s="7">
        <v>211.27143334641809</v>
      </c>
      <c r="J4" s="8">
        <v>0</v>
      </c>
      <c r="K4" s="7">
        <v>9320.1643775918546</v>
      </c>
      <c r="L4" s="7">
        <v>10.000000000000018</v>
      </c>
      <c r="M4" s="7">
        <v>15.371900826446268</v>
      </c>
      <c r="N4" s="6">
        <v>7484.1249030511726</v>
      </c>
      <c r="O4" s="7">
        <v>52.371900826488265</v>
      </c>
      <c r="P4" s="7">
        <v>46.999999999999979</v>
      </c>
      <c r="Q4" s="7">
        <v>108.70291841701668</v>
      </c>
      <c r="R4" s="8">
        <v>0</v>
      </c>
      <c r="S4" s="7">
        <v>6753.0399999999927</v>
      </c>
      <c r="T4" s="71">
        <v>111.9215390001479</v>
      </c>
      <c r="U4" s="71">
        <v>0</v>
      </c>
      <c r="V4" s="6">
        <v>7659.9999999999918</v>
      </c>
      <c r="W4" s="7">
        <v>12.000000000000009</v>
      </c>
      <c r="X4" s="8">
        <v>13.002564131268841</v>
      </c>
      <c r="Y4" s="7">
        <v>6054.5863504265035</v>
      </c>
      <c r="Z4" s="7">
        <v>9.0025641312625417</v>
      </c>
      <c r="AA4" s="7">
        <v>8.0000000000000266</v>
      </c>
      <c r="AB4" s="40">
        <v>21.520661157024776</v>
      </c>
      <c r="AC4" s="7">
        <v>0</v>
      </c>
      <c r="AD4" s="6">
        <v>3608.8960567257182</v>
      </c>
      <c r="AE4" s="7">
        <v>12619.500568365936</v>
      </c>
      <c r="AF4" s="7">
        <v>651.47663350334267</v>
      </c>
      <c r="AG4" s="7">
        <v>461.00000000000017</v>
      </c>
      <c r="AH4" s="7">
        <v>53.670571812655105</v>
      </c>
      <c r="AI4" s="7">
        <v>784.97991073583216</v>
      </c>
      <c r="AJ4" s="8">
        <v>0</v>
      </c>
      <c r="AK4" s="7">
        <v>1085.638492352361</v>
      </c>
      <c r="AL4" s="37">
        <v>890328.64558060863</v>
      </c>
      <c r="AM4" s="7">
        <v>353.02493412400003</v>
      </c>
      <c r="AN4" s="6">
        <v>642.50124642716469</v>
      </c>
      <c r="AO4" s="40">
        <v>875987.07706154534</v>
      </c>
      <c r="AP4" s="8">
        <v>110.043719064</v>
      </c>
      <c r="AQ4" s="7">
        <v>447.99999999999949</v>
      </c>
      <c r="AR4" s="40">
        <v>710981.99999972072</v>
      </c>
      <c r="AS4" s="40">
        <v>46875.458960900003</v>
      </c>
      <c r="AT4" s="9">
        <v>29427.699326569946</v>
      </c>
      <c r="AU4" s="7">
        <v>98761.999999945183</v>
      </c>
      <c r="AV4" s="9">
        <v>51999.999999929911</v>
      </c>
    </row>
    <row r="5" x14ac:dyDescent="0.25">
      <c r="A5" s="32">
        <f>EOMONTH(A4,1)</f>
        <v>44074</v>
      </c>
      <c r="B5" s="10">
        <v>6499.9555692257145</v>
      </c>
      <c r="C5" s="11">
        <v>59.999999999999993</v>
      </c>
      <c r="D5" s="11">
        <v>100.7964021894386</v>
      </c>
      <c r="E5" s="11">
        <v>0</v>
      </c>
      <c r="F5" s="10">
        <v>6024.9290243438254</v>
      </c>
      <c r="G5" s="11">
        <v>105.79640218947361</v>
      </c>
      <c r="H5" s="11">
        <v>65.000000000000028</v>
      </c>
      <c r="I5" s="11">
        <v>94.502603258465598</v>
      </c>
      <c r="J5" s="12">
        <v>0</v>
      </c>
      <c r="K5" s="11">
        <v>9315.4331586285989</v>
      </c>
      <c r="L5" s="11">
        <v>7.0000000000000311</v>
      </c>
      <c r="M5" s="11">
        <v>15.371900826446268</v>
      </c>
      <c r="N5" s="10">
        <v>7476.9150177493357</v>
      </c>
      <c r="O5" s="11">
        <v>45.371900826439237</v>
      </c>
      <c r="P5" s="11">
        <v>37.000000000000021</v>
      </c>
      <c r="Q5" s="11">
        <v>97.112745160318354</v>
      </c>
      <c r="R5" s="12">
        <v>34.027253686741012</v>
      </c>
      <c r="S5" s="11">
        <v>6753.0399999999927</v>
      </c>
      <c r="T5" s="75">
        <v>104.96694214878127</v>
      </c>
      <c r="U5" s="75">
        <v>0</v>
      </c>
      <c r="V5" s="10">
        <v>7651.993563812327</v>
      </c>
      <c r="W5" s="11">
        <v>12.000000000000009</v>
      </c>
      <c r="X5" s="12">
        <v>31.824444608667495</v>
      </c>
      <c r="Y5" s="11">
        <v>6051.5268567257153</v>
      </c>
      <c r="Z5" s="11">
        <v>35.824444608695508</v>
      </c>
      <c r="AA5" s="11">
        <v>15.999999999999993</v>
      </c>
      <c r="AB5" s="41">
        <v>21.520661157024776</v>
      </c>
      <c r="AC5" s="11">
        <v>0</v>
      </c>
      <c r="AD5" s="10">
        <v>3605.0687054789992</v>
      </c>
      <c r="AE5" s="11">
        <v>12240.335247756195</v>
      </c>
      <c r="AF5" s="11">
        <v>443.13520656477323</v>
      </c>
      <c r="AG5" s="11">
        <v>299.99999999999994</v>
      </c>
      <c r="AH5" s="11">
        <v>52.633753599390793</v>
      </c>
      <c r="AI5" s="11">
        <v>799.99999999908869</v>
      </c>
      <c r="AJ5" s="12">
        <v>0</v>
      </c>
      <c r="AK5" s="11">
        <v>1085.2586058562981</v>
      </c>
      <c r="AL5" s="38">
        <v>822918.01934614126</v>
      </c>
      <c r="AM5" s="11">
        <v>323.12607518900001</v>
      </c>
      <c r="AN5" s="10">
        <v>642.50124642716469</v>
      </c>
      <c r="AO5" s="41">
        <v>787958.75374446786</v>
      </c>
      <c r="AP5" s="12">
        <v>99.062489514600003</v>
      </c>
      <c r="AQ5" s="11">
        <v>447.99999999999949</v>
      </c>
      <c r="AR5" s="41">
        <v>626358.99999221798</v>
      </c>
      <c r="AS5" s="41">
        <v>41171.058275800002</v>
      </c>
      <c r="AT5" s="13">
        <v>29976.69932660614</v>
      </c>
      <c r="AU5" s="11">
        <v>98761.999999945183</v>
      </c>
      <c r="AV5" s="13">
        <v>51999.999999929911</v>
      </c>
    </row>
    <row r="6" x14ac:dyDescent="0.25">
      <c r="A6" s="32">
        <f t="shared" ref="A6:A35" si="0">EOMONTH(A5,1)</f>
        <v>44104</v>
      </c>
      <c r="B6" s="10">
        <v>6496.5498391076044</v>
      </c>
      <c r="C6" s="11">
        <v>40.000000000000007</v>
      </c>
      <c r="D6" s="11">
        <v>63.362765493616223</v>
      </c>
      <c r="E6" s="11">
        <v>0</v>
      </c>
      <c r="F6" s="10">
        <v>6024.0821181758465</v>
      </c>
      <c r="G6" s="11">
        <v>71.362765493658245</v>
      </c>
      <c r="H6" s="11">
        <v>48.000000000000021</v>
      </c>
      <c r="I6" s="11">
        <v>92.979466352802888</v>
      </c>
      <c r="J6" s="12">
        <v>0</v>
      </c>
      <c r="K6" s="11">
        <v>9311.2935635498579</v>
      </c>
      <c r="L6" s="11">
        <v>5.0000000000000018</v>
      </c>
      <c r="M6" s="11">
        <v>11.900826446280982</v>
      </c>
      <c r="N6" s="10">
        <v>7470.6188086942175</v>
      </c>
      <c r="O6" s="11">
        <v>36.900826446280959</v>
      </c>
      <c r="P6" s="11">
        <v>29.999999999999989</v>
      </c>
      <c r="Q6" s="11">
        <v>79.86700063467309</v>
      </c>
      <c r="R6" s="12">
        <v>0</v>
      </c>
      <c r="S6" s="11">
        <v>6753.0362407480252</v>
      </c>
      <c r="T6" s="75">
        <v>85.743801652892486</v>
      </c>
      <c r="U6" s="75">
        <v>0</v>
      </c>
      <c r="V6" s="10">
        <v>7646.0000022309623</v>
      </c>
      <c r="W6" s="11">
        <v>10.999999999999984</v>
      </c>
      <c r="X6" s="12">
        <v>24.898584811160621</v>
      </c>
      <c r="Y6" s="11">
        <v>6050.4766207349012</v>
      </c>
      <c r="Z6" s="11">
        <v>36.835584811180112</v>
      </c>
      <c r="AA6" s="11">
        <v>22.999999999999993</v>
      </c>
      <c r="AB6" s="41">
        <v>20.826446280991718</v>
      </c>
      <c r="AC6" s="11">
        <v>0</v>
      </c>
      <c r="AD6" s="10">
        <v>3602.891649835954</v>
      </c>
      <c r="AE6" s="11">
        <v>12028.10471875182</v>
      </c>
      <c r="AF6" s="11">
        <v>418.47871428689234</v>
      </c>
      <c r="AG6" s="11">
        <v>299.99999999999994</v>
      </c>
      <c r="AH6" s="11">
        <v>47.687680144162506</v>
      </c>
      <c r="AI6" s="11">
        <v>599.99999999999955</v>
      </c>
      <c r="AJ6" s="12">
        <v>0</v>
      </c>
      <c r="AK6" s="11">
        <v>1083.6787272703402</v>
      </c>
      <c r="AL6" s="38">
        <v>732207.8903372623</v>
      </c>
      <c r="AM6" s="11">
        <v>285.86899494800002</v>
      </c>
      <c r="AN6" s="10">
        <v>640.00753110564244</v>
      </c>
      <c r="AO6" s="41">
        <v>766884.68056342413</v>
      </c>
      <c r="AP6" s="12">
        <v>95.531408559799999</v>
      </c>
      <c r="AQ6" s="11">
        <v>447.49999999999949</v>
      </c>
      <c r="AR6" s="41">
        <v>532454.00000078499</v>
      </c>
      <c r="AS6" s="41">
        <v>34745.903195500003</v>
      </c>
      <c r="AT6" s="13">
        <v>25363.699326649461</v>
      </c>
      <c r="AU6" s="11">
        <v>95803.000000076237</v>
      </c>
      <c r="AV6" s="13">
        <v>139999.99999999988</v>
      </c>
    </row>
    <row r="7" x14ac:dyDescent="0.25">
      <c r="A7" s="32">
        <f t="shared" si="0"/>
        <v>44135</v>
      </c>
      <c r="B7" s="10">
        <v>6493.5492332349013</v>
      </c>
      <c r="C7" s="11">
        <v>44.999999999999993</v>
      </c>
      <c r="D7" s="11">
        <v>65.174285318155711</v>
      </c>
      <c r="E7" s="11">
        <v>40.384184975239528</v>
      </c>
      <c r="F7" s="10">
        <v>6023.4648442913322</v>
      </c>
      <c r="G7" s="11">
        <v>75.174285318225742</v>
      </c>
      <c r="H7" s="11">
        <v>55.000000000000014</v>
      </c>
      <c r="I7" s="11">
        <v>91.618032942258694</v>
      </c>
      <c r="J7" s="12">
        <v>0</v>
      </c>
      <c r="K7" s="11">
        <v>9309.9999999999909</v>
      </c>
      <c r="L7" s="11">
        <v>5.0000000000000027</v>
      </c>
      <c r="M7" s="11">
        <v>7.0754139008430714</v>
      </c>
      <c r="N7" s="10">
        <v>7468.6933836614098</v>
      </c>
      <c r="O7" s="11">
        <v>31.075413900880875</v>
      </c>
      <c r="P7" s="11">
        <v>28.999999999999996</v>
      </c>
      <c r="Q7" s="11">
        <v>43.594377274013638</v>
      </c>
      <c r="R7" s="12">
        <v>0</v>
      </c>
      <c r="S7" s="11">
        <v>6753.0399999999927</v>
      </c>
      <c r="T7" s="75">
        <v>51.519548043404072</v>
      </c>
      <c r="U7" s="75">
        <v>0</v>
      </c>
      <c r="V7" s="10">
        <v>7645.003462401567</v>
      </c>
      <c r="W7" s="11">
        <v>10.000000000000018</v>
      </c>
      <c r="X7" s="12">
        <v>12.077979453897912</v>
      </c>
      <c r="Y7" s="11">
        <v>6050.4365943241401</v>
      </c>
      <c r="Z7" s="11">
        <v>31.822979453872261</v>
      </c>
      <c r="AA7" s="11">
        <v>29.999999999999996</v>
      </c>
      <c r="AB7" s="41">
        <v>21.520661157024776</v>
      </c>
      <c r="AC7" s="11">
        <v>0</v>
      </c>
      <c r="AD7" s="10">
        <v>3600.8687033792612</v>
      </c>
      <c r="AE7" s="11">
        <v>11833.137464853575</v>
      </c>
      <c r="AF7" s="11">
        <v>462.06524214372968</v>
      </c>
      <c r="AG7" s="11">
        <v>410.00000000000011</v>
      </c>
      <c r="AH7" s="11">
        <v>32.629871537568867</v>
      </c>
      <c r="AI7" s="11">
        <v>640.00000000013961</v>
      </c>
      <c r="AJ7" s="12">
        <v>0</v>
      </c>
      <c r="AK7" s="11">
        <v>1084.5256108694214</v>
      </c>
      <c r="AL7" s="38">
        <v>571758.33984182903</v>
      </c>
      <c r="AM7" s="11">
        <v>220.400390066</v>
      </c>
      <c r="AN7" s="10">
        <v>632.99732935367388</v>
      </c>
      <c r="AO7" s="41">
        <v>729827.32439542341</v>
      </c>
      <c r="AP7" s="12">
        <v>88.045328181300007</v>
      </c>
      <c r="AQ7" s="11">
        <v>447.49999999999949</v>
      </c>
      <c r="AR7" s="41">
        <v>458607.00001915166</v>
      </c>
      <c r="AS7" s="41">
        <v>30217.101743499999</v>
      </c>
      <c r="AT7" s="13">
        <v>24124.699326640723</v>
      </c>
      <c r="AU7" s="11">
        <v>98995.999999910768</v>
      </c>
      <c r="AV7" s="13">
        <v>177999.99999994383</v>
      </c>
    </row>
    <row r="8" x14ac:dyDescent="0.25">
      <c r="A8" s="32">
        <f t="shared" si="0"/>
        <v>44165</v>
      </c>
      <c r="B8" s="10">
        <v>6490.078982709967</v>
      </c>
      <c r="C8" s="11">
        <v>40.000000000000007</v>
      </c>
      <c r="D8" s="11">
        <v>63.071889017570044</v>
      </c>
      <c r="E8" s="11">
        <v>0</v>
      </c>
      <c r="F8" s="10">
        <v>6022.9135699475</v>
      </c>
      <c r="G8" s="11">
        <v>73.07188901757003</v>
      </c>
      <c r="H8" s="11">
        <v>50.000000000000021</v>
      </c>
      <c r="I8" s="11">
        <v>90.599204619091466</v>
      </c>
      <c r="J8" s="12">
        <v>0</v>
      </c>
      <c r="K8" s="11">
        <v>9308.4999999999891</v>
      </c>
      <c r="L8" s="11">
        <v>4.0000000000000009</v>
      </c>
      <c r="M8" s="11">
        <v>6.3583199999940696</v>
      </c>
      <c r="N8" s="10">
        <v>7470.2715732611468</v>
      </c>
      <c r="O8" s="11">
        <v>26.358320000057095</v>
      </c>
      <c r="P8" s="11">
        <v>24.000000000000011</v>
      </c>
      <c r="Q8" s="11">
        <v>15.552250639488983</v>
      </c>
      <c r="R8" s="12">
        <v>0</v>
      </c>
      <c r="S8" s="11">
        <v>6753.0390355314894</v>
      </c>
      <c r="T8" s="75">
        <v>21.520661156940722</v>
      </c>
      <c r="U8" s="75">
        <v>0</v>
      </c>
      <c r="V8" s="10">
        <v>7646.0048426509111</v>
      </c>
      <c r="W8" s="11">
        <v>6.9999999999999991</v>
      </c>
      <c r="X8" s="12">
        <v>4.6156927633038922</v>
      </c>
      <c r="Y8" s="11">
        <v>6050.6810309383136</v>
      </c>
      <c r="Z8" s="11">
        <v>24.605692763294627</v>
      </c>
      <c r="AA8" s="11">
        <v>26.999999999999972</v>
      </c>
      <c r="AB8" s="41">
        <v>20.826446280991718</v>
      </c>
      <c r="AC8" s="11">
        <v>0</v>
      </c>
      <c r="AD8" s="10">
        <v>3598.7297592519649</v>
      </c>
      <c r="AE8" s="11">
        <v>11629.303137953473</v>
      </c>
      <c r="AF8" s="11">
        <v>451.00731205758649</v>
      </c>
      <c r="AG8" s="11">
        <v>425.00000000000011</v>
      </c>
      <c r="AH8" s="11">
        <v>31.148380059726499</v>
      </c>
      <c r="AI8" s="11">
        <v>639.99999999915894</v>
      </c>
      <c r="AJ8" s="12">
        <v>0</v>
      </c>
      <c r="AK8" s="11">
        <v>1083.7578787303139</v>
      </c>
      <c r="AL8" s="38">
        <v>718069.9258746861</v>
      </c>
      <c r="AM8" s="11">
        <v>282.31352864400003</v>
      </c>
      <c r="AN8" s="10">
        <v>634.99500232283401</v>
      </c>
      <c r="AO8" s="41">
        <v>637909.17219776078</v>
      </c>
      <c r="AP8" s="12">
        <v>75.774485468400002</v>
      </c>
      <c r="AQ8" s="11">
        <v>447.49999999999949</v>
      </c>
      <c r="AR8" s="41">
        <v>360563.0000016613</v>
      </c>
      <c r="AS8" s="41">
        <v>23453.004925400001</v>
      </c>
      <c r="AT8" s="13">
        <v>16155.699326650478</v>
      </c>
      <c r="AU8" s="11">
        <v>95802.796544938145</v>
      </c>
      <c r="AV8" s="13">
        <v>183853.63836957244</v>
      </c>
    </row>
    <row r="9" x14ac:dyDescent="0.25">
      <c r="A9" s="32">
        <f t="shared" si="0"/>
        <v>44196</v>
      </c>
      <c r="B9" s="10">
        <v>6484.7990932742714</v>
      </c>
      <c r="C9" s="11">
        <v>31.999999999999986</v>
      </c>
      <c r="D9" s="11">
        <v>65.174285318155711</v>
      </c>
      <c r="E9" s="11">
        <v>0</v>
      </c>
      <c r="F9" s="10">
        <v>6022.2861292322768</v>
      </c>
      <c r="G9" s="11">
        <v>68.174285318176715</v>
      </c>
      <c r="H9" s="11">
        <v>35.000000000000028</v>
      </c>
      <c r="I9" s="11">
        <v>90.09797409268414</v>
      </c>
      <c r="J9" s="12">
        <v>0</v>
      </c>
      <c r="K9" s="11">
        <v>9307.7812888451354</v>
      </c>
      <c r="L9" s="11">
        <v>3.5000000000000027</v>
      </c>
      <c r="M9" s="11">
        <v>4.6115702479338809</v>
      </c>
      <c r="N9" s="10">
        <v>7471.2154391076037</v>
      </c>
      <c r="O9" s="11">
        <v>22.111570247947874</v>
      </c>
      <c r="P9" s="11">
        <v>21.000000000000032</v>
      </c>
      <c r="Q9" s="11">
        <v>15.546454243514006</v>
      </c>
      <c r="R9" s="12">
        <v>0</v>
      </c>
      <c r="S9" s="11">
        <v>6753.0399999999927</v>
      </c>
      <c r="T9" s="75">
        <v>21.520375575623344</v>
      </c>
      <c r="U9" s="75">
        <v>0</v>
      </c>
      <c r="V9" s="10">
        <v>7647.3326499671839</v>
      </c>
      <c r="W9" s="11">
        <v>5.0000000000000027</v>
      </c>
      <c r="X9" s="12">
        <v>1.844628030000981</v>
      </c>
      <c r="Y9" s="11">
        <v>6050.3190521981569</v>
      </c>
      <c r="Z9" s="11">
        <v>17.844628029995782</v>
      </c>
      <c r="AA9" s="11">
        <v>21.000000000000032</v>
      </c>
      <c r="AB9" s="41">
        <v>21.520661157024776</v>
      </c>
      <c r="AC9" s="11">
        <v>0</v>
      </c>
      <c r="AD9" s="10">
        <v>3595.2361355314924</v>
      </c>
      <c r="AE9" s="11">
        <v>11301.179560224338</v>
      </c>
      <c r="AF9" s="11">
        <v>390.13901082500428</v>
      </c>
      <c r="AG9" s="11">
        <v>339.99999999999977</v>
      </c>
      <c r="AH9" s="11">
        <v>24.512466877596118</v>
      </c>
      <c r="AI9" s="11">
        <v>720.00000000069974</v>
      </c>
      <c r="AJ9" s="12">
        <v>0</v>
      </c>
      <c r="AK9" s="11">
        <v>1085.5909328740147</v>
      </c>
      <c r="AL9" s="38">
        <v>571074.58530320285</v>
      </c>
      <c r="AM9" s="11">
        <v>219.62084334799999</v>
      </c>
      <c r="AN9" s="10">
        <v>639.50562092519613</v>
      </c>
      <c r="AO9" s="41">
        <v>431360.39794624026</v>
      </c>
      <c r="AP9" s="12">
        <v>53.122781570999997</v>
      </c>
      <c r="AQ9" s="11">
        <v>446.49999999999949</v>
      </c>
      <c r="AR9" s="41">
        <v>229107.99999950008</v>
      </c>
      <c r="AS9" s="41">
        <v>14158.2934332</v>
      </c>
      <c r="AT9" s="13">
        <v>10748.699326639107</v>
      </c>
      <c r="AU9" s="11">
        <v>98973.796544951256</v>
      </c>
      <c r="AV9" s="13">
        <v>133338.63836947104</v>
      </c>
    </row>
    <row r="10" x14ac:dyDescent="0.25">
      <c r="A10" s="32">
        <f t="shared" si="0"/>
        <v>44227</v>
      </c>
      <c r="B10" s="10">
        <v>6478.4663367125922</v>
      </c>
      <c r="C10" s="11">
        <v>29.999999999999996</v>
      </c>
      <c r="D10" s="11">
        <v>65.174285318155711</v>
      </c>
      <c r="E10" s="11">
        <v>0</v>
      </c>
      <c r="F10" s="10">
        <v>6022.4537760498624</v>
      </c>
      <c r="G10" s="11">
        <v>75.174285318225742</v>
      </c>
      <c r="H10" s="11">
        <v>40.000000000000014</v>
      </c>
      <c r="I10" s="11">
        <v>67.231404958719651</v>
      </c>
      <c r="J10" s="12">
        <v>0</v>
      </c>
      <c r="K10" s="11">
        <v>9307.0547578083879</v>
      </c>
      <c r="L10" s="11">
        <v>3.5000000000000027</v>
      </c>
      <c r="M10" s="11">
        <v>4.6115702479338809</v>
      </c>
      <c r="N10" s="10">
        <v>7470.0908284448742</v>
      </c>
      <c r="O10" s="11">
        <v>20.111570247933869</v>
      </c>
      <c r="P10" s="11">
        <v>18.999999999999979</v>
      </c>
      <c r="Q10" s="11">
        <v>27.587008890047056</v>
      </c>
      <c r="R10" s="12">
        <v>0</v>
      </c>
      <c r="S10" s="11">
        <v>6753.0399999999927</v>
      </c>
      <c r="T10" s="75">
        <v>32.561983000087601</v>
      </c>
      <c r="U10" s="75">
        <v>0</v>
      </c>
      <c r="V10" s="10">
        <v>7647.5024203740077</v>
      </c>
      <c r="W10" s="11">
        <v>5.0000000000000027</v>
      </c>
      <c r="X10" s="12">
        <v>4.5311859416036659</v>
      </c>
      <c r="Y10" s="11">
        <v>6050.0149820537999</v>
      </c>
      <c r="Z10" s="11">
        <v>18.531185941593147</v>
      </c>
      <c r="AA10" s="11">
        <v>18.999999999999979</v>
      </c>
      <c r="AB10" s="41">
        <v>21.520661157024776</v>
      </c>
      <c r="AC10" s="11">
        <v>0</v>
      </c>
      <c r="AD10" s="10">
        <v>3590.0008149278178</v>
      </c>
      <c r="AE10" s="11">
        <v>10820.578792094127</v>
      </c>
      <c r="AF10" s="11">
        <v>348.3140491150333</v>
      </c>
      <c r="AG10" s="11">
        <v>309.99999999999994</v>
      </c>
      <c r="AH10" s="11">
        <v>7.3628795965551532</v>
      </c>
      <c r="AI10" s="11">
        <v>859.99999999950899</v>
      </c>
      <c r="AJ10" s="12">
        <v>0</v>
      </c>
      <c r="AK10" s="11">
        <v>1089.7693543602352</v>
      </c>
      <c r="AL10" s="38">
        <v>532840.33309407823</v>
      </c>
      <c r="AM10" s="11">
        <v>203.88158233199999</v>
      </c>
      <c r="AN10" s="10">
        <v>641.79754691929065</v>
      </c>
      <c r="AO10" s="41">
        <v>440283.45043288544</v>
      </c>
      <c r="AP10" s="12">
        <v>55.545407555899999</v>
      </c>
      <c r="AQ10" s="11">
        <v>446.49999999999949</v>
      </c>
      <c r="AR10" s="41">
        <v>255249.56997171306</v>
      </c>
      <c r="AS10" s="41">
        <v>15980.9346823</v>
      </c>
      <c r="AT10" s="13">
        <v>10570.22310564763</v>
      </c>
      <c r="AU10" s="11">
        <v>103847.66666672396</v>
      </c>
      <c r="AV10" s="13">
        <v>90344.521249255107</v>
      </c>
    </row>
    <row r="11" x14ac:dyDescent="0.25">
      <c r="A11" s="32">
        <f t="shared" si="0"/>
        <v>44255</v>
      </c>
      <c r="B11" s="10">
        <v>6471.9295623359512</v>
      </c>
      <c r="C11" s="11">
        <v>27.999999999999989</v>
      </c>
      <c r="D11" s="11">
        <v>58.867096416398702</v>
      </c>
      <c r="E11" s="11">
        <v>0</v>
      </c>
      <c r="F11" s="10">
        <v>6022.7063348753218</v>
      </c>
      <c r="G11" s="11">
        <v>72.867096416398681</v>
      </c>
      <c r="H11" s="11">
        <v>42.000000000000014</v>
      </c>
      <c r="I11" s="11">
        <v>61.305785123994909</v>
      </c>
      <c r="J11" s="12">
        <v>0</v>
      </c>
      <c r="K11" s="11">
        <v>9306.2844456364746</v>
      </c>
      <c r="L11" s="11">
        <v>3</v>
      </c>
      <c r="M11" s="11">
        <v>4.1652892561983439</v>
      </c>
      <c r="N11" s="10">
        <v>7468.9954845144275</v>
      </c>
      <c r="O11" s="11">
        <v>17.165289256206741</v>
      </c>
      <c r="P11" s="11">
        <v>15.999999999999977</v>
      </c>
      <c r="Q11" s="11">
        <v>24.341567949284297</v>
      </c>
      <c r="R11" s="12">
        <v>0</v>
      </c>
      <c r="S11" s="11">
        <v>6753.0372994422505</v>
      </c>
      <c r="T11" s="75">
        <v>29.314050000045992</v>
      </c>
      <c r="U11" s="75">
        <v>0</v>
      </c>
      <c r="V11" s="10">
        <v>7647.5023572834571</v>
      </c>
      <c r="W11" s="11">
        <v>4</v>
      </c>
      <c r="X11" s="12">
        <v>3.9085053408487371</v>
      </c>
      <c r="Y11" s="11">
        <v>6050.232382677159</v>
      </c>
      <c r="Z11" s="11">
        <v>22.881505340837062</v>
      </c>
      <c r="AA11" s="11">
        <v>22.999999999999989</v>
      </c>
      <c r="AB11" s="41">
        <v>19.438016528925605</v>
      </c>
      <c r="AC11" s="11">
        <v>0</v>
      </c>
      <c r="AD11" s="10">
        <v>3585.7228762467157</v>
      </c>
      <c r="AE11" s="11">
        <v>10437.755637082082</v>
      </c>
      <c r="AF11" s="11">
        <v>344.22885165226495</v>
      </c>
      <c r="AG11" s="11">
        <v>320.00000000000006</v>
      </c>
      <c r="AH11" s="11">
        <v>7.6778597642343822</v>
      </c>
      <c r="AI11" s="11">
        <v>750.00000000055979</v>
      </c>
      <c r="AJ11" s="12">
        <v>0</v>
      </c>
      <c r="AK11" s="11">
        <v>1092.7869764862194</v>
      </c>
      <c r="AL11" s="38">
        <v>533273.75105636986</v>
      </c>
      <c r="AM11" s="11">
        <v>210.21914964300001</v>
      </c>
      <c r="AN11" s="10">
        <v>641.79754691929065</v>
      </c>
      <c r="AO11" s="41">
        <v>513207.83701231645</v>
      </c>
      <c r="AP11" s="12">
        <v>64.851724015000002</v>
      </c>
      <c r="AQ11" s="11">
        <v>446.49999999999949</v>
      </c>
      <c r="AR11" s="41">
        <v>392829.47991829406</v>
      </c>
      <c r="AS11" s="41">
        <v>25507.301461800002</v>
      </c>
      <c r="AT11" s="13">
        <v>10650.47975486587</v>
      </c>
      <c r="AU11" s="11">
        <v>30736.666666738369</v>
      </c>
      <c r="AV11" s="13">
        <v>85138.355294972949</v>
      </c>
    </row>
    <row r="12" x14ac:dyDescent="0.25">
      <c r="A12" s="32">
        <f t="shared" si="0"/>
        <v>44286</v>
      </c>
      <c r="B12" s="10">
        <v>6467.01229944225</v>
      </c>
      <c r="C12" s="11">
        <v>44.999999999999993</v>
      </c>
      <c r="D12" s="11">
        <v>65.174285318155711</v>
      </c>
      <c r="E12" s="11">
        <v>0</v>
      </c>
      <c r="F12" s="10">
        <v>6024.2376783136424</v>
      </c>
      <c r="G12" s="11">
        <v>110.17428531825372</v>
      </c>
      <c r="H12" s="11">
        <v>90.000000000000227</v>
      </c>
      <c r="I12" s="11">
        <v>49.190082644628063</v>
      </c>
      <c r="J12" s="12">
        <v>0</v>
      </c>
      <c r="K12" s="11">
        <v>9305.2038783792559</v>
      </c>
      <c r="L12" s="11">
        <v>2.9999999999999991</v>
      </c>
      <c r="M12" s="11">
        <v>4.6115702479338809</v>
      </c>
      <c r="N12" s="10">
        <v>7470.576356627289</v>
      </c>
      <c r="O12" s="11">
        <v>29.611570247891837</v>
      </c>
      <c r="P12" s="11">
        <v>28.000000000000004</v>
      </c>
      <c r="Q12" s="11">
        <v>18.583741562401833</v>
      </c>
      <c r="R12" s="12">
        <v>18.583741562401833</v>
      </c>
      <c r="S12" s="11">
        <v>6753.0399999999927</v>
      </c>
      <c r="T12" s="75">
        <v>26.519861518356883</v>
      </c>
      <c r="U12" s="75">
        <v>0</v>
      </c>
      <c r="V12" s="10">
        <v>7647.9985732283394</v>
      </c>
      <c r="W12" s="11">
        <v>7.0000000000000311</v>
      </c>
      <c r="X12" s="12">
        <v>5.638750698157577</v>
      </c>
      <c r="Y12" s="11">
        <v>6052.5788810367394</v>
      </c>
      <c r="Z12" s="11">
        <v>56.549750698060535</v>
      </c>
      <c r="AA12" s="11">
        <v>61.99999999999973</v>
      </c>
      <c r="AB12" s="41">
        <v>21.520661157024776</v>
      </c>
      <c r="AC12" s="11">
        <v>0</v>
      </c>
      <c r="AD12" s="10">
        <v>3581.5530526902849</v>
      </c>
      <c r="AE12" s="11">
        <v>10073.167080841849</v>
      </c>
      <c r="AF12" s="11">
        <v>418.95960532081455</v>
      </c>
      <c r="AG12" s="11">
        <v>499.99999999999966</v>
      </c>
      <c r="AH12" s="11">
        <v>12.715246806620092</v>
      </c>
      <c r="AI12" s="11">
        <v>799.99999999908869</v>
      </c>
      <c r="AJ12" s="12">
        <v>0</v>
      </c>
      <c r="AK12" s="11">
        <v>1091.2955895603664</v>
      </c>
      <c r="AL12" s="38">
        <v>982302.745067977</v>
      </c>
      <c r="AM12" s="11">
        <v>400.14932567900001</v>
      </c>
      <c r="AN12" s="10">
        <v>643.05459791010435</v>
      </c>
      <c r="AO12" s="41">
        <v>923380.17084582034</v>
      </c>
      <c r="AP12" s="12">
        <v>115.36030463499999</v>
      </c>
      <c r="AQ12" s="11">
        <v>446.69999999999948</v>
      </c>
      <c r="AR12" s="41">
        <v>637816.26349260088</v>
      </c>
      <c r="AS12" s="41">
        <v>41298.337060899998</v>
      </c>
      <c r="AT12" s="13">
        <v>14856.772980822756</v>
      </c>
      <c r="AU12" s="11">
        <v>99676.66666657076</v>
      </c>
      <c r="AV12" s="13">
        <v>169475.42294110014</v>
      </c>
    </row>
    <row r="13" x14ac:dyDescent="0.25">
      <c r="A13" s="32">
        <f t="shared" si="0"/>
        <v>44316</v>
      </c>
      <c r="B13" s="10">
        <v>6464.9999999999927</v>
      </c>
      <c r="C13" s="11">
        <v>70</v>
      </c>
      <c r="D13" s="11">
        <v>77.228859313266696</v>
      </c>
      <c r="E13" s="11">
        <v>0</v>
      </c>
      <c r="F13" s="10">
        <v>6026.1824330052432</v>
      </c>
      <c r="G13" s="11">
        <v>127.22885931326667</v>
      </c>
      <c r="H13" s="11">
        <v>120.00000000000006</v>
      </c>
      <c r="I13" s="11">
        <v>47.603305785123929</v>
      </c>
      <c r="J13" s="12">
        <v>0</v>
      </c>
      <c r="K13" s="11">
        <v>9305.9999999999909</v>
      </c>
      <c r="L13" s="11">
        <v>5.9999999999999742</v>
      </c>
      <c r="M13" s="11">
        <v>4.8152799999974807</v>
      </c>
      <c r="N13" s="10">
        <v>7472.7043016076041</v>
      </c>
      <c r="O13" s="11">
        <v>58.815279999997436</v>
      </c>
      <c r="P13" s="11">
        <v>59.999999999999737</v>
      </c>
      <c r="Q13" s="11">
        <v>43.619641535542875</v>
      </c>
      <c r="R13" s="12">
        <v>43.619641535542875</v>
      </c>
      <c r="S13" s="11">
        <v>6753.0369792650845</v>
      </c>
      <c r="T13" s="75">
        <v>63.52066115710879</v>
      </c>
      <c r="U13" s="75">
        <v>0</v>
      </c>
      <c r="V13" s="10">
        <v>7654.9408039370001</v>
      </c>
      <c r="W13" s="11">
        <v>19.000000000000004</v>
      </c>
      <c r="X13" s="12">
        <v>1.7851239000009493</v>
      </c>
      <c r="Y13" s="11">
        <v>6056.2649085629855</v>
      </c>
      <c r="Z13" s="11">
        <v>89.722123900096037</v>
      </c>
      <c r="AA13" s="11">
        <v>120.00000000000006</v>
      </c>
      <c r="AB13" s="41">
        <v>20.826446280991718</v>
      </c>
      <c r="AC13" s="11">
        <v>0</v>
      </c>
      <c r="AD13" s="10">
        <v>3580.3362997375293</v>
      </c>
      <c r="AE13" s="11">
        <v>9968.3728330748891</v>
      </c>
      <c r="AF13" s="11">
        <v>616.67541322260195</v>
      </c>
      <c r="AG13" s="11">
        <v>770.00000000000057</v>
      </c>
      <c r="AH13" s="11">
        <v>19.853198210757245</v>
      </c>
      <c r="AI13" s="11">
        <v>710.00000000083992</v>
      </c>
      <c r="AJ13" s="12">
        <v>0</v>
      </c>
      <c r="AK13" s="11">
        <v>1087.7230601640408</v>
      </c>
      <c r="AL13" s="38">
        <v>1046567.5502880764</v>
      </c>
      <c r="AM13" s="11">
        <v>423.91859651200002</v>
      </c>
      <c r="AN13" s="10">
        <v>642.99981670275531</v>
      </c>
      <c r="AO13" s="41">
        <v>1018871.7316798061</v>
      </c>
      <c r="AP13" s="12">
        <v>127.188907031</v>
      </c>
      <c r="AQ13" s="11">
        <v>448.69999999999948</v>
      </c>
      <c r="AR13" s="41">
        <v>707619.93267041119</v>
      </c>
      <c r="AS13" s="41">
        <v>46573.602537799998</v>
      </c>
      <c r="AT13" s="13">
        <v>21043.293425406762</v>
      </c>
      <c r="AU13" s="11">
        <v>96729.666666605059</v>
      </c>
      <c r="AV13" s="13">
        <v>163228.20009679018</v>
      </c>
    </row>
    <row r="14" x14ac:dyDescent="0.25">
      <c r="A14" s="32">
        <f t="shared" si="0"/>
        <v>44347</v>
      </c>
      <c r="B14" s="10">
        <v>6477.3645807414632</v>
      </c>
      <c r="C14" s="11">
        <v>134.99999999999972</v>
      </c>
      <c r="D14" s="11">
        <v>79.80315462370892</v>
      </c>
      <c r="E14" s="11">
        <v>0</v>
      </c>
      <c r="F14" s="10">
        <v>6027.6607643700727</v>
      </c>
      <c r="G14" s="11">
        <v>144.80315462372991</v>
      </c>
      <c r="H14" s="11">
        <v>199.99999999999977</v>
      </c>
      <c r="I14" s="11">
        <v>79.338842975157505</v>
      </c>
      <c r="J14" s="12">
        <v>0</v>
      </c>
      <c r="K14" s="11">
        <v>9315.4999999999891</v>
      </c>
      <c r="L14" s="11">
        <v>25.000000000000011</v>
      </c>
      <c r="M14" s="11">
        <v>9.7355199999951214</v>
      </c>
      <c r="N14" s="10">
        <v>7480.7907011482866</v>
      </c>
      <c r="O14" s="11">
        <v>174.73551999993478</v>
      </c>
      <c r="P14" s="11">
        <v>189.99999999999974</v>
      </c>
      <c r="Q14" s="11">
        <v>116.26158482903489</v>
      </c>
      <c r="R14" s="12">
        <v>110.18077293437591</v>
      </c>
      <c r="S14" s="11">
        <v>6753.0399999999927</v>
      </c>
      <c r="T14" s="75">
        <v>166.11357330300754</v>
      </c>
      <c r="U14" s="75">
        <v>31.915178636155701</v>
      </c>
      <c r="V14" s="10">
        <v>7662.9960773950052</v>
      </c>
      <c r="W14" s="11">
        <v>63.000000000000036</v>
      </c>
      <c r="X14" s="12">
        <v>41.625400755549656</v>
      </c>
      <c r="Y14" s="11">
        <v>6066.6939079068179</v>
      </c>
      <c r="Z14" s="11">
        <v>196.00640075549762</v>
      </c>
      <c r="AA14" s="11">
        <v>250.00000000000011</v>
      </c>
      <c r="AB14" s="41">
        <v>21.520661157024776</v>
      </c>
      <c r="AC14" s="11">
        <v>0</v>
      </c>
      <c r="AD14" s="10">
        <v>3588.375170964563</v>
      </c>
      <c r="AE14" s="11">
        <v>10674.05609212528</v>
      </c>
      <c r="AF14" s="11">
        <v>1496.1270774341908</v>
      </c>
      <c r="AG14" s="11">
        <v>1850.0000000000014</v>
      </c>
      <c r="AH14" s="11">
        <v>23.989156250109776</v>
      </c>
      <c r="AI14" s="11">
        <v>710.00000000062983</v>
      </c>
      <c r="AJ14" s="12">
        <v>0</v>
      </c>
      <c r="AK14" s="11">
        <v>1084.1774508202088</v>
      </c>
      <c r="AL14" s="38">
        <v>1007075.9282230254</v>
      </c>
      <c r="AM14" s="11">
        <v>392.30231947599998</v>
      </c>
      <c r="AN14" s="10">
        <v>642.99981670275531</v>
      </c>
      <c r="AO14" s="41">
        <v>975075.61508055124</v>
      </c>
      <c r="AP14" s="12">
        <v>122.06974259500001</v>
      </c>
      <c r="AQ14" s="11">
        <v>448.69999999999948</v>
      </c>
      <c r="AR14" s="41">
        <v>704925.50328553689</v>
      </c>
      <c r="AS14" s="41">
        <v>46868.205365100002</v>
      </c>
      <c r="AT14" s="13">
        <v>27429.188282873842</v>
      </c>
      <c r="AU14" s="11">
        <v>88435.666666569974</v>
      </c>
      <c r="AV14" s="13">
        <v>171558.4182257331</v>
      </c>
    </row>
    <row r="15" x14ac:dyDescent="0.25">
      <c r="A15" s="32">
        <f t="shared" si="0"/>
        <v>44377</v>
      </c>
      <c r="B15" s="10">
        <v>6499.9999999999936</v>
      </c>
      <c r="C15" s="11">
        <v>265.00000000000017</v>
      </c>
      <c r="D15" s="11">
        <v>117.15154625719185</v>
      </c>
      <c r="E15" s="11">
        <v>15.544586666732647</v>
      </c>
      <c r="F15" s="10">
        <v>6026.7523913713849</v>
      </c>
      <c r="G15" s="11">
        <v>177.1515462571918</v>
      </c>
      <c r="H15" s="11">
        <v>324.99999999999994</v>
      </c>
      <c r="I15" s="11">
        <v>202.4115692345529</v>
      </c>
      <c r="J15" s="12">
        <v>0</v>
      </c>
      <c r="K15" s="11">
        <v>9327.9597622375222</v>
      </c>
      <c r="L15" s="11">
        <v>38.000000000000014</v>
      </c>
      <c r="M15" s="11">
        <v>14.876033057851227</v>
      </c>
      <c r="N15" s="10">
        <v>7506.3690638779444</v>
      </c>
      <c r="O15" s="11">
        <v>236.8760330571786</v>
      </c>
      <c r="P15" s="11">
        <v>260.00000000000011</v>
      </c>
      <c r="Q15" s="11">
        <v>32.696509276644967</v>
      </c>
      <c r="R15" s="12">
        <v>0</v>
      </c>
      <c r="S15" s="11">
        <v>6753.0346360564236</v>
      </c>
      <c r="T15" s="75">
        <v>82.520661157024719</v>
      </c>
      <c r="U15" s="75">
        <v>0</v>
      </c>
      <c r="V15" s="10">
        <v>7664.8369038385745</v>
      </c>
      <c r="W15" s="11">
        <v>66.000000000000128</v>
      </c>
      <c r="X15" s="12">
        <v>60.439332024165182</v>
      </c>
      <c r="Y15" s="11">
        <v>6071.4342020669228</v>
      </c>
      <c r="Z15" s="11">
        <v>160.75433202406762</v>
      </c>
      <c r="AA15" s="11">
        <v>190.00000000000006</v>
      </c>
      <c r="AB15" s="41">
        <v>37.738854466952631</v>
      </c>
      <c r="AC15" s="11">
        <v>0</v>
      </c>
      <c r="AD15" s="10">
        <v>3600.7015665682379</v>
      </c>
      <c r="AE15" s="11">
        <v>11817.125089965859</v>
      </c>
      <c r="AF15" s="11">
        <v>2024.7080848592711</v>
      </c>
      <c r="AG15" s="11">
        <v>2450.0000000000027</v>
      </c>
      <c r="AH15" s="11">
        <v>40.19356486300105</v>
      </c>
      <c r="AI15" s="11">
        <v>749.99999999999943</v>
      </c>
      <c r="AJ15" s="12">
        <v>0</v>
      </c>
      <c r="AK15" s="11">
        <v>1081.2231154757205</v>
      </c>
      <c r="AL15" s="38">
        <v>961012.25189478777</v>
      </c>
      <c r="AM15" s="11">
        <v>366.95747347500003</v>
      </c>
      <c r="AN15" s="10">
        <v>642.99981670275531</v>
      </c>
      <c r="AO15" s="41">
        <v>920802.33685626718</v>
      </c>
      <c r="AP15" s="12">
        <v>115.383824131</v>
      </c>
      <c r="AQ15" s="11">
        <v>448.69999999999948</v>
      </c>
      <c r="AR15" s="41">
        <v>717312.92435390444</v>
      </c>
      <c r="AS15" s="41">
        <v>47762.502608800001</v>
      </c>
      <c r="AT15" s="13">
        <v>27521.272227658366</v>
      </c>
      <c r="AU15" s="11">
        <v>85852.666666641046</v>
      </c>
      <c r="AV15" s="13">
        <v>99714.914763424429</v>
      </c>
    </row>
    <row r="16" x14ac:dyDescent="0.25">
      <c r="A16" s="32">
        <f t="shared" si="0"/>
        <v>44408</v>
      </c>
      <c r="B16" s="10">
        <v>6505.4999999999936</v>
      </c>
      <c r="C16" s="11">
        <v>169.99999999999989</v>
      </c>
      <c r="D16" s="11">
        <v>124.57871747777317</v>
      </c>
      <c r="E16" s="11">
        <v>23.803239878250327</v>
      </c>
      <c r="F16" s="10">
        <v>6027.4058222112799</v>
      </c>
      <c r="G16" s="11">
        <v>149.57871747773112</v>
      </c>
      <c r="H16" s="11">
        <v>195.00000000000009</v>
      </c>
      <c r="I16" s="11">
        <v>110.66039305208025</v>
      </c>
      <c r="J16" s="12">
        <v>0</v>
      </c>
      <c r="K16" s="11">
        <v>9326.4999999999909</v>
      </c>
      <c r="L16" s="11">
        <v>14.999999999999998</v>
      </c>
      <c r="M16" s="11">
        <v>17.881996942140407</v>
      </c>
      <c r="N16" s="10">
        <v>7505.6581105642963</v>
      </c>
      <c r="O16" s="11">
        <v>92.881996942144539</v>
      </c>
      <c r="P16" s="11">
        <v>90.000000000000227</v>
      </c>
      <c r="Q16" s="11">
        <v>97.42717342224816</v>
      </c>
      <c r="R16" s="12">
        <v>0</v>
      </c>
      <c r="S16" s="11">
        <v>6753.0399999999927</v>
      </c>
      <c r="T16" s="75">
        <v>112.22981673282453</v>
      </c>
      <c r="U16" s="75">
        <v>0</v>
      </c>
      <c r="V16" s="10">
        <v>7659.9713704068163</v>
      </c>
      <c r="W16" s="11">
        <v>27.000000000000004</v>
      </c>
      <c r="X16" s="12">
        <v>39.358267316035565</v>
      </c>
      <c r="Y16" s="11">
        <v>6067.6854345472375</v>
      </c>
      <c r="Z16" s="11">
        <v>51.190267316038522</v>
      </c>
      <c r="AA16" s="11">
        <v>40.000000000000014</v>
      </c>
      <c r="AB16" s="41">
        <v>40.938611296413121</v>
      </c>
      <c r="AC16" s="11">
        <v>0</v>
      </c>
      <c r="AD16" s="10">
        <v>3600.5265057414658</v>
      </c>
      <c r="AE16" s="11">
        <v>11800.37037702976</v>
      </c>
      <c r="AF16" s="11">
        <v>882.2028210819517</v>
      </c>
      <c r="AG16" s="11">
        <v>900.00000000000216</v>
      </c>
      <c r="AH16" s="11">
        <v>50.29791637763762</v>
      </c>
      <c r="AI16" s="11">
        <v>850.00000000378179</v>
      </c>
      <c r="AJ16" s="12">
        <v>0</v>
      </c>
      <c r="AK16" s="11">
        <v>1081.084149996718</v>
      </c>
      <c r="AL16" s="38">
        <v>840711.37849665608</v>
      </c>
      <c r="AM16" s="11">
        <v>326.57624943600001</v>
      </c>
      <c r="AN16" s="10">
        <v>641.99704448162663</v>
      </c>
      <c r="AO16" s="41">
        <v>830837.38436082238</v>
      </c>
      <c r="AP16" s="12">
        <v>104.257275944</v>
      </c>
      <c r="AQ16" s="11">
        <v>447.99999999999949</v>
      </c>
      <c r="AR16" s="41">
        <v>692313.83758999512</v>
      </c>
      <c r="AS16" s="41">
        <v>45826.809833599997</v>
      </c>
      <c r="AT16" s="13">
        <v>28006.191350299472</v>
      </c>
      <c r="AU16" s="11">
        <v>88429.666666698933</v>
      </c>
      <c r="AV16" s="13">
        <v>51819.245788692089</v>
      </c>
    </row>
    <row r="17" x14ac:dyDescent="0.25">
      <c r="A17" s="32">
        <f t="shared" si="0"/>
        <v>44439</v>
      </c>
      <c r="B17" s="10">
        <v>6500.8088673556358</v>
      </c>
      <c r="C17" s="11">
        <v>59.999999999999993</v>
      </c>
      <c r="D17" s="11">
        <v>94.325453390282846</v>
      </c>
      <c r="E17" s="11">
        <v>0</v>
      </c>
      <c r="F17" s="10">
        <v>6026.9665760498619</v>
      </c>
      <c r="G17" s="11">
        <v>104.32545339013572</v>
      </c>
      <c r="H17" s="11">
        <v>70.000000000000327</v>
      </c>
      <c r="I17" s="11">
        <v>109.06717464432346</v>
      </c>
      <c r="J17" s="12">
        <v>0</v>
      </c>
      <c r="K17" s="11">
        <v>9319.9999999999891</v>
      </c>
      <c r="L17" s="11">
        <v>8.0000000000000266</v>
      </c>
      <c r="M17" s="11">
        <v>20.284349999995353</v>
      </c>
      <c r="N17" s="10">
        <v>7501.6100159448742</v>
      </c>
      <c r="O17" s="11">
        <v>62.284350000028944</v>
      </c>
      <c r="P17" s="11">
        <v>49.999999999999964</v>
      </c>
      <c r="Q17" s="11">
        <v>95.112745160304343</v>
      </c>
      <c r="R17" s="12">
        <v>0</v>
      </c>
      <c r="S17" s="11">
        <v>6753.0399999999927</v>
      </c>
      <c r="T17" s="75">
        <v>104.96694214878127</v>
      </c>
      <c r="U17" s="75">
        <v>0</v>
      </c>
      <c r="V17" s="10">
        <v>7651.9717952099654</v>
      </c>
      <c r="W17" s="11">
        <v>16.999999999999989</v>
      </c>
      <c r="X17" s="12">
        <v>36.802772373511608</v>
      </c>
      <c r="Y17" s="11">
        <v>6064.7067136482874</v>
      </c>
      <c r="Z17" s="11">
        <v>52.88977237359974</v>
      </c>
      <c r="AA17" s="11">
        <v>33.999999999999972</v>
      </c>
      <c r="AB17" s="41">
        <v>40.938611296413121</v>
      </c>
      <c r="AC17" s="11">
        <v>0</v>
      </c>
      <c r="AD17" s="10">
        <v>3596.5202816272931</v>
      </c>
      <c r="AE17" s="11">
        <v>11421.097846085844</v>
      </c>
      <c r="AF17" s="11">
        <v>539.99972808843654</v>
      </c>
      <c r="AG17" s="11">
        <v>400.00000000000011</v>
      </c>
      <c r="AH17" s="11">
        <v>49.614062322536867</v>
      </c>
      <c r="AI17" s="11">
        <v>899.99999999761769</v>
      </c>
      <c r="AJ17" s="12">
        <v>0</v>
      </c>
      <c r="AK17" s="11">
        <v>1082.1195612073479</v>
      </c>
      <c r="AL17" s="38">
        <v>799183.13937573065</v>
      </c>
      <c r="AM17" s="11">
        <v>309.272451563</v>
      </c>
      <c r="AN17" s="10">
        <v>641.99704448162663</v>
      </c>
      <c r="AO17" s="41">
        <v>764312.8151740348</v>
      </c>
      <c r="AP17" s="12">
        <v>95.8415606139</v>
      </c>
      <c r="AQ17" s="11">
        <v>447.50000000328043</v>
      </c>
      <c r="AR17" s="41">
        <v>622530.01913767436</v>
      </c>
      <c r="AS17" s="41">
        <v>40798.7366368</v>
      </c>
      <c r="AT17" s="13">
        <v>28476.748756777473</v>
      </c>
      <c r="AU17" s="11">
        <v>88429.666666698933</v>
      </c>
      <c r="AV17" s="13">
        <v>51819.245788692089</v>
      </c>
    </row>
    <row r="18" x14ac:dyDescent="0.25">
      <c r="A18" s="32">
        <f t="shared" si="0"/>
        <v>44469</v>
      </c>
      <c r="B18" s="10">
        <v>6497.6564455708594</v>
      </c>
      <c r="C18" s="11">
        <v>45.000000000000014</v>
      </c>
      <c r="D18" s="11">
        <v>66.739797467584566</v>
      </c>
      <c r="E18" s="11">
        <v>46.719954020955591</v>
      </c>
      <c r="F18" s="10">
        <v>6025.840069488183</v>
      </c>
      <c r="G18" s="11">
        <v>74.739797467626587</v>
      </c>
      <c r="H18" s="11">
        <v>53.000000000000036</v>
      </c>
      <c r="I18" s="11">
        <v>107.59183542134184</v>
      </c>
      <c r="J18" s="12">
        <v>0</v>
      </c>
      <c r="K18" s="11">
        <v>9311.4999999999891</v>
      </c>
      <c r="L18" s="11">
        <v>5.9999999999999742</v>
      </c>
      <c r="M18" s="11">
        <v>20.638320000000785</v>
      </c>
      <c r="N18" s="10">
        <v>7497.6869865485487</v>
      </c>
      <c r="O18" s="11">
        <v>47.638319999937728</v>
      </c>
      <c r="P18" s="11">
        <v>33.000000000000007</v>
      </c>
      <c r="Q18" s="11">
        <v>78.867000634799183</v>
      </c>
      <c r="R18" s="12">
        <v>0</v>
      </c>
      <c r="S18" s="11">
        <v>6753.0362407480252</v>
      </c>
      <c r="T18" s="75">
        <v>85.743801652892486</v>
      </c>
      <c r="U18" s="75">
        <v>33.936354875194759</v>
      </c>
      <c r="V18" s="10">
        <v>7645.979505872695</v>
      </c>
      <c r="W18" s="11">
        <v>15.000000000000023</v>
      </c>
      <c r="X18" s="12">
        <v>28.892574748318658</v>
      </c>
      <c r="Y18" s="11">
        <v>6063.0000325787341</v>
      </c>
      <c r="Z18" s="11">
        <v>46.56257474820265</v>
      </c>
      <c r="AA18" s="11">
        <v>33.999999999999972</v>
      </c>
      <c r="AB18" s="41">
        <v>40.06217300758739</v>
      </c>
      <c r="AC18" s="11">
        <v>0</v>
      </c>
      <c r="AD18" s="10">
        <v>3593.9721761482901</v>
      </c>
      <c r="AE18" s="11">
        <v>11183.928775577559</v>
      </c>
      <c r="AF18" s="11">
        <v>458.79581008256361</v>
      </c>
      <c r="AG18" s="11">
        <v>324.99999999999994</v>
      </c>
      <c r="AH18" s="11">
        <v>44.938400147026478</v>
      </c>
      <c r="AI18" s="11">
        <v>669.9999999764641</v>
      </c>
      <c r="AJ18" s="12">
        <v>0</v>
      </c>
      <c r="AK18" s="11">
        <v>1081.3796279101039</v>
      </c>
      <c r="AL18" s="38">
        <v>727328.51724942622</v>
      </c>
      <c r="AM18" s="11">
        <v>279.95480714300004</v>
      </c>
      <c r="AN18" s="10">
        <v>640.00753110564244</v>
      </c>
      <c r="AO18" s="41">
        <v>748341.30756612297</v>
      </c>
      <c r="AP18" s="12">
        <v>93.128778487300011</v>
      </c>
      <c r="AQ18" s="11">
        <v>447.49999999999949</v>
      </c>
      <c r="AR18" s="41">
        <v>529375.88653126766</v>
      </c>
      <c r="AS18" s="41">
        <v>34444.793820400002</v>
      </c>
      <c r="AT18" s="13">
        <v>24583.034059359456</v>
      </c>
      <c r="AU18" s="11">
        <v>70337.666666763776</v>
      </c>
      <c r="AV18" s="13">
        <v>140322.30400391002</v>
      </c>
    </row>
    <row r="19" x14ac:dyDescent="0.25">
      <c r="A19" s="32">
        <f t="shared" si="0"/>
        <v>44500</v>
      </c>
      <c r="B19" s="10">
        <v>6494.6279404199404</v>
      </c>
      <c r="C19" s="11">
        <v>48.020000000000024</v>
      </c>
      <c r="D19" s="11">
        <v>68.659782278131928</v>
      </c>
      <c r="E19" s="11">
        <v>0</v>
      </c>
      <c r="F19" s="10">
        <v>6024.9269328412011</v>
      </c>
      <c r="G19" s="11">
        <v>78.179782278094365</v>
      </c>
      <c r="H19" s="11">
        <v>57.539999999999992</v>
      </c>
      <c r="I19" s="11">
        <v>106.26708223547237</v>
      </c>
      <c r="J19" s="12">
        <v>0</v>
      </c>
      <c r="K19" s="11">
        <v>9309.9999999999909</v>
      </c>
      <c r="L19" s="11">
        <v>5.8300000000000027</v>
      </c>
      <c r="M19" s="11">
        <v>8.24017999999087</v>
      </c>
      <c r="N19" s="10">
        <v>7496.4999999999918</v>
      </c>
      <c r="O19" s="11">
        <v>37.280179999920662</v>
      </c>
      <c r="P19" s="11">
        <v>34.870000000000033</v>
      </c>
      <c r="Q19" s="11">
        <v>46.360522354070071</v>
      </c>
      <c r="R19" s="12">
        <v>0</v>
      </c>
      <c r="S19" s="11">
        <v>6753.0399999999927</v>
      </c>
      <c r="T19" s="75">
        <v>53.755693123558849</v>
      </c>
      <c r="U19" s="75">
        <v>0</v>
      </c>
      <c r="V19" s="10">
        <v>7644.9827248359506</v>
      </c>
      <c r="W19" s="11">
        <v>14.170000000000027</v>
      </c>
      <c r="X19" s="12">
        <v>16.240114613792251</v>
      </c>
      <c r="Y19" s="11">
        <v>6063.5958331364764</v>
      </c>
      <c r="Z19" s="11">
        <v>40.337114613851803</v>
      </c>
      <c r="AA19" s="11">
        <v>40.240000000000038</v>
      </c>
      <c r="AB19" s="41">
        <v>21.520661157024776</v>
      </c>
      <c r="AC19" s="11">
        <v>0</v>
      </c>
      <c r="AD19" s="10">
        <v>3592.2064619094454</v>
      </c>
      <c r="AE19" s="11">
        <v>11021.432564771147</v>
      </c>
      <c r="AF19" s="11">
        <v>495.26043651619403</v>
      </c>
      <c r="AG19" s="11">
        <v>442.64000000000004</v>
      </c>
      <c r="AH19" s="11">
        <v>30.756340247805582</v>
      </c>
      <c r="AI19" s="11">
        <v>640.00000000013961</v>
      </c>
      <c r="AJ19" s="12">
        <v>0</v>
      </c>
      <c r="AK19" s="11">
        <v>1082.6537594160093</v>
      </c>
      <c r="AL19" s="38">
        <v>535328.15397537185</v>
      </c>
      <c r="AM19" s="11">
        <v>202.38154470800001</v>
      </c>
      <c r="AN19" s="10">
        <v>632.99732935367388</v>
      </c>
      <c r="AO19" s="41">
        <v>693397.13852896634</v>
      </c>
      <c r="AP19" s="12">
        <v>83.792244802900001</v>
      </c>
      <c r="AQ19" s="11">
        <v>447.49999999999949</v>
      </c>
      <c r="AR19" s="41">
        <v>470008.67232768144</v>
      </c>
      <c r="AS19" s="41">
        <v>30935.956954500001</v>
      </c>
      <c r="AT19" s="13">
        <v>23522.801482902527</v>
      </c>
      <c r="AU19" s="11">
        <v>56385.666666768942</v>
      </c>
      <c r="AV19" s="13">
        <v>172599.47511558581</v>
      </c>
    </row>
    <row r="20" x14ac:dyDescent="0.25">
      <c r="A20" s="32">
        <f t="shared" si="0"/>
        <v>44530</v>
      </c>
      <c r="B20" s="10">
        <v>6490.9729910761089</v>
      </c>
      <c r="C20" s="11">
        <v>41.830000000000027</v>
      </c>
      <c r="D20" s="11">
        <v>66.444950591740565</v>
      </c>
      <c r="E20" s="11">
        <v>0</v>
      </c>
      <c r="F20" s="10">
        <v>6024.0494801509121</v>
      </c>
      <c r="G20" s="11">
        <v>75.0949505916481</v>
      </c>
      <c r="H20" s="11">
        <v>50.479999999999983</v>
      </c>
      <c r="I20" s="11">
        <v>105.30664326065987</v>
      </c>
      <c r="J20" s="12">
        <v>0</v>
      </c>
      <c r="K20" s="11">
        <v>9308.4999999999891</v>
      </c>
      <c r="L20" s="11">
        <v>4.79</v>
      </c>
      <c r="M20" s="11">
        <v>7.1483200000100409</v>
      </c>
      <c r="N20" s="10">
        <v>7494.9999999999927</v>
      </c>
      <c r="O20" s="11">
        <v>32.108320000015063</v>
      </c>
      <c r="P20" s="11">
        <v>29.749999999999982</v>
      </c>
      <c r="Q20" s="11">
        <v>43.91732951846874</v>
      </c>
      <c r="R20" s="12">
        <v>0</v>
      </c>
      <c r="S20" s="11">
        <v>6753.0390355314894</v>
      </c>
      <c r="T20" s="75">
        <v>50.375740035911228</v>
      </c>
      <c r="U20" s="75">
        <v>0</v>
      </c>
      <c r="V20" s="10">
        <v>7645.9843866797828</v>
      </c>
      <c r="W20" s="11">
        <v>8.3699999999999903</v>
      </c>
      <c r="X20" s="12">
        <v>5.9745479000106343</v>
      </c>
      <c r="Y20" s="11">
        <v>6064.1018739501251</v>
      </c>
      <c r="Z20" s="11">
        <v>28.466547900028434</v>
      </c>
      <c r="AA20" s="11">
        <v>31.130000000000003</v>
      </c>
      <c r="AB20" s="41">
        <v>20.826446280991718</v>
      </c>
      <c r="AC20" s="11">
        <v>0</v>
      </c>
      <c r="AD20" s="10">
        <v>3590.4830341535398</v>
      </c>
      <c r="AE20" s="11">
        <v>10864.289671945593</v>
      </c>
      <c r="AF20" s="11">
        <v>499.76882957734063</v>
      </c>
      <c r="AG20" s="11">
        <v>440.78999999999996</v>
      </c>
      <c r="AH20" s="11">
        <v>29.483149918532085</v>
      </c>
      <c r="AI20" s="11">
        <v>639.99999999915894</v>
      </c>
      <c r="AJ20" s="12">
        <v>0</v>
      </c>
      <c r="AK20" s="11">
        <v>1082.5905379593164</v>
      </c>
      <c r="AL20" s="38">
        <v>654420.8711550592</v>
      </c>
      <c r="AM20" s="11">
        <v>253.802722569</v>
      </c>
      <c r="AN20" s="10">
        <v>634.99500232611479</v>
      </c>
      <c r="AO20" s="41">
        <v>574260.11747393128</v>
      </c>
      <c r="AP20" s="12">
        <v>68.440424351499999</v>
      </c>
      <c r="AQ20" s="11">
        <v>447.49999999999949</v>
      </c>
      <c r="AR20" s="41">
        <v>355216.46125475905</v>
      </c>
      <c r="AS20" s="41">
        <v>23084.1087243</v>
      </c>
      <c r="AT20" s="13">
        <v>16775.329300589445</v>
      </c>
      <c r="AU20" s="11">
        <v>54828.666666610472</v>
      </c>
      <c r="AV20" s="13">
        <v>166352.25227133188</v>
      </c>
    </row>
    <row r="21" x14ac:dyDescent="0.25">
      <c r="A21" s="32">
        <f t="shared" si="0"/>
        <v>44561</v>
      </c>
      <c r="B21" s="10">
        <v>6485.2151462270276</v>
      </c>
      <c r="C21" s="11">
        <v>31.989999999999998</v>
      </c>
      <c r="D21" s="11">
        <v>68.659782278131928</v>
      </c>
      <c r="E21" s="11">
        <v>0</v>
      </c>
      <c r="F21" s="10">
        <v>6023.1253415026185</v>
      </c>
      <c r="G21" s="11">
        <v>71.519782278121554</v>
      </c>
      <c r="H21" s="11">
        <v>34.849999999999987</v>
      </c>
      <c r="I21" s="11">
        <v>104.89552861977766</v>
      </c>
      <c r="J21" s="12">
        <v>0</v>
      </c>
      <c r="K21" s="11">
        <v>9308.4999999999891</v>
      </c>
      <c r="L21" s="11">
        <v>4.6799999999999979</v>
      </c>
      <c r="M21" s="11">
        <v>4.6800000000067206</v>
      </c>
      <c r="N21" s="10">
        <v>7489.9999999999927</v>
      </c>
      <c r="O21" s="11">
        <v>25.640000000101406</v>
      </c>
      <c r="P21" s="11">
        <v>25.639999999999979</v>
      </c>
      <c r="Q21" s="11">
        <v>64.908529636851412</v>
      </c>
      <c r="R21" s="12">
        <v>0</v>
      </c>
      <c r="S21" s="11">
        <v>6753.0399999999927</v>
      </c>
      <c r="T21" s="75">
        <v>71.672450969029242</v>
      </c>
      <c r="U21" s="75">
        <v>0</v>
      </c>
      <c r="V21" s="10">
        <v>7647.4828699474983</v>
      </c>
      <c r="W21" s="11">
        <v>6.3400000000000283</v>
      </c>
      <c r="X21" s="12">
        <v>2.7862262548420569</v>
      </c>
      <c r="Y21" s="11">
        <v>6064.0476479658728</v>
      </c>
      <c r="Z21" s="11">
        <v>21.469226254838933</v>
      </c>
      <c r="AA21" s="11">
        <v>25.070000000000011</v>
      </c>
      <c r="AB21" s="41">
        <v>21.520661157024776</v>
      </c>
      <c r="AC21" s="11">
        <v>0</v>
      </c>
      <c r="AD21" s="10">
        <v>3587.6565953412037</v>
      </c>
      <c r="AE21" s="11">
        <v>10609.698649491318</v>
      </c>
      <c r="AF21" s="11">
        <v>468.31564074512443</v>
      </c>
      <c r="AG21" s="11">
        <v>362.52999999999997</v>
      </c>
      <c r="AH21" s="11">
        <v>23.273938817598523</v>
      </c>
      <c r="AI21" s="11">
        <v>720.00000000069974</v>
      </c>
      <c r="AJ21" s="12">
        <v>0</v>
      </c>
      <c r="AK21" s="11">
        <v>1085.3022872539359</v>
      </c>
      <c r="AL21" s="38">
        <v>491365.91085901984</v>
      </c>
      <c r="AM21" s="11">
        <v>191.102930367</v>
      </c>
      <c r="AN21" s="10">
        <v>639.50562092519613</v>
      </c>
      <c r="AO21" s="41">
        <v>351651.72350422869</v>
      </c>
      <c r="AP21" s="12">
        <v>43.498707859200003</v>
      </c>
      <c r="AQ21" s="11">
        <v>446.49999999999949</v>
      </c>
      <c r="AR21" s="41">
        <v>236803.44934456324</v>
      </c>
      <c r="AS21" s="41">
        <v>14671.669389999999</v>
      </c>
      <c r="AT21" s="13">
        <v>12222.665272745455</v>
      </c>
      <c r="AU21" s="11">
        <v>56309.666666665056</v>
      </c>
      <c r="AV21" s="13">
        <v>88260.64446012897</v>
      </c>
    </row>
    <row r="22" x14ac:dyDescent="0.25">
      <c r="A22" s="32">
        <f t="shared" si="0"/>
        <v>44592</v>
      </c>
      <c r="B22" s="10">
        <v>6478.3434274606225</v>
      </c>
      <c r="C22" s="11">
        <v>30.310000000000013</v>
      </c>
      <c r="D22" s="11">
        <v>68.659782278131928</v>
      </c>
      <c r="E22" s="11">
        <v>0</v>
      </c>
      <c r="F22" s="10">
        <v>6023.3671116797832</v>
      </c>
      <c r="G22" s="11">
        <v>78.689782278208668</v>
      </c>
      <c r="H22" s="11">
        <v>40.340000000000011</v>
      </c>
      <c r="I22" s="11">
        <v>67.87310149326035</v>
      </c>
      <c r="J22" s="12">
        <v>0</v>
      </c>
      <c r="K22" s="11">
        <v>9308.331552001302</v>
      </c>
      <c r="L22" s="11">
        <v>4.3500000000000014</v>
      </c>
      <c r="M22" s="11">
        <v>4.6115702479338809</v>
      </c>
      <c r="N22" s="10">
        <v>7486.9999999999927</v>
      </c>
      <c r="O22" s="11">
        <v>24.571570247847848</v>
      </c>
      <c r="P22" s="11">
        <v>24.309999999999974</v>
      </c>
      <c r="Q22" s="11">
        <v>47.513320393089778</v>
      </c>
      <c r="R22" s="12">
        <v>0</v>
      </c>
      <c r="S22" s="11">
        <v>6753.0399999999927</v>
      </c>
      <c r="T22" s="75">
        <v>54.428294503130886</v>
      </c>
      <c r="U22" s="75">
        <v>0</v>
      </c>
      <c r="V22" s="10">
        <v>7647.4822728018289</v>
      </c>
      <c r="W22" s="11">
        <v>5.389999999999997</v>
      </c>
      <c r="X22" s="12">
        <v>5.3139177558376112</v>
      </c>
      <c r="Y22" s="11">
        <v>6064.0220507217782</v>
      </c>
      <c r="Z22" s="11">
        <v>21.843917755764469</v>
      </c>
      <c r="AA22" s="11">
        <v>21.919999999999973</v>
      </c>
      <c r="AB22" s="41">
        <v>21.520661157024776</v>
      </c>
      <c r="AC22" s="11">
        <v>0</v>
      </c>
      <c r="AD22" s="10">
        <v>3582.8764450131198</v>
      </c>
      <c r="AE22" s="11">
        <v>10187.962419037936</v>
      </c>
      <c r="AF22" s="11">
        <v>411.49205715239617</v>
      </c>
      <c r="AG22" s="11">
        <v>361.18000000000006</v>
      </c>
      <c r="AH22" s="11">
        <v>6.9671869040138281</v>
      </c>
      <c r="AI22" s="11">
        <v>859.99999999950899</v>
      </c>
      <c r="AJ22" s="12">
        <v>0</v>
      </c>
      <c r="AK22" s="11">
        <v>1089.6316053674529</v>
      </c>
      <c r="AL22" s="38">
        <v>519253.52898803272</v>
      </c>
      <c r="AM22" s="11">
        <v>204.316693485</v>
      </c>
      <c r="AN22" s="10">
        <v>641.79754691929065</v>
      </c>
      <c r="AO22" s="41">
        <v>426696.64632466849</v>
      </c>
      <c r="AP22" s="12">
        <v>53.869948011400005</v>
      </c>
      <c r="AQ22" s="11">
        <v>446.49999999999949</v>
      </c>
      <c r="AR22" s="41">
        <v>255378.5699707866</v>
      </c>
      <c r="AS22" s="41">
        <v>15998.527765000001</v>
      </c>
      <c r="AT22" s="13">
        <v>10785.364137203596</v>
      </c>
      <c r="AU22" s="11">
        <v>89889.33333322953</v>
      </c>
      <c r="AV22" s="13">
        <v>90587.050475676282</v>
      </c>
    </row>
    <row r="23" x14ac:dyDescent="0.25">
      <c r="A23" s="32">
        <f t="shared" si="0"/>
        <v>44620</v>
      </c>
      <c r="B23" s="10">
        <v>6470.9911940288648</v>
      </c>
      <c r="C23" s="11">
        <v>27.659999999999979</v>
      </c>
      <c r="D23" s="11">
        <v>62.015287218957866</v>
      </c>
      <c r="E23" s="11">
        <v>0</v>
      </c>
      <c r="F23" s="10">
        <v>6023.6209138779468</v>
      </c>
      <c r="G23" s="11">
        <v>78.895287218986994</v>
      </c>
      <c r="H23" s="11">
        <v>44.539999999999999</v>
      </c>
      <c r="I23" s="11">
        <v>67.198279269936137</v>
      </c>
      <c r="J23" s="12">
        <v>0</v>
      </c>
      <c r="K23" s="11">
        <v>9307.9999999999891</v>
      </c>
      <c r="L23" s="11">
        <v>3.799999999999998</v>
      </c>
      <c r="M23" s="11">
        <v>4.3130097520623192</v>
      </c>
      <c r="N23" s="10">
        <v>7484.9999999999918</v>
      </c>
      <c r="O23" s="11">
        <v>22.903009752116102</v>
      </c>
      <c r="P23" s="11">
        <v>22.389999999999986</v>
      </c>
      <c r="Q23" s="11">
        <v>37.858657327448718</v>
      </c>
      <c r="R23" s="12">
        <v>0</v>
      </c>
      <c r="S23" s="11">
        <v>6753.0372994422505</v>
      </c>
      <c r="T23" s="75">
        <v>44.271139378224973</v>
      </c>
      <c r="U23" s="75">
        <v>0</v>
      </c>
      <c r="V23" s="10">
        <v>7647.4822630577346</v>
      </c>
      <c r="W23" s="11">
        <v>4.740000000000002</v>
      </c>
      <c r="X23" s="12">
        <v>4.6428811812827018</v>
      </c>
      <c r="Y23" s="11">
        <v>6064.734387795269</v>
      </c>
      <c r="Z23" s="11">
        <v>29.822881181373457</v>
      </c>
      <c r="AA23" s="11">
        <v>30.25</v>
      </c>
      <c r="AB23" s="41">
        <v>19.438016528925605</v>
      </c>
      <c r="AC23" s="11">
        <v>0</v>
      </c>
      <c r="AD23" s="10">
        <v>3579.2611075131194</v>
      </c>
      <c r="AE23" s="11">
        <v>9876.3690774900988</v>
      </c>
      <c r="AF23" s="11">
        <v>420.7534351763403</v>
      </c>
      <c r="AG23" s="11">
        <v>392.98999999999978</v>
      </c>
      <c r="AH23" s="11">
        <v>7.2742367620587869</v>
      </c>
      <c r="AI23" s="11">
        <v>750.00000000055979</v>
      </c>
      <c r="AJ23" s="12">
        <v>0</v>
      </c>
      <c r="AK23" s="11">
        <v>1092.795156453411</v>
      </c>
      <c r="AL23" s="38">
        <v>519648.6734695264</v>
      </c>
      <c r="AM23" s="11">
        <v>204.06524019400001</v>
      </c>
      <c r="AN23" s="10">
        <v>641.79754691929065</v>
      </c>
      <c r="AO23" s="41">
        <v>499582.75942547305</v>
      </c>
      <c r="AP23" s="12">
        <v>63.1786547938</v>
      </c>
      <c r="AQ23" s="11">
        <v>446.49999999999949</v>
      </c>
      <c r="AR23" s="41">
        <v>393022.47991883603</v>
      </c>
      <c r="AS23" s="41">
        <v>25500.472584300001</v>
      </c>
      <c r="AT23" s="13">
        <v>10867.254290097748</v>
      </c>
      <c r="AU23" s="11">
        <v>16677.333333329174</v>
      </c>
      <c r="AV23" s="13">
        <v>85379.611040820208</v>
      </c>
    </row>
    <row r="24" x14ac:dyDescent="0.25">
      <c r="A24" s="32">
        <f t="shared" si="0"/>
        <v>44651</v>
      </c>
      <c r="B24" s="10">
        <v>6467.0128503608857</v>
      </c>
      <c r="C24" s="11">
        <v>52.600000000000023</v>
      </c>
      <c r="D24" s="11">
        <v>68.659782278131928</v>
      </c>
      <c r="E24" s="11">
        <v>0</v>
      </c>
      <c r="F24" s="10">
        <v>6024.9160897309648</v>
      </c>
      <c r="G24" s="11">
        <v>118.37978227820221</v>
      </c>
      <c r="H24" s="11">
        <v>102.32000000000023</v>
      </c>
      <c r="I24" s="11">
        <v>65.974575732609651</v>
      </c>
      <c r="J24" s="12">
        <v>0</v>
      </c>
      <c r="K24" s="11">
        <v>9306.4999999999909</v>
      </c>
      <c r="L24" s="11">
        <v>4.4399999999999995</v>
      </c>
      <c r="M24" s="11">
        <v>6.7291700000074286</v>
      </c>
      <c r="N24" s="10">
        <v>7484.4999999999918</v>
      </c>
      <c r="O24" s="11">
        <v>38.30917000005055</v>
      </c>
      <c r="P24" s="11">
        <v>36.020000000000017</v>
      </c>
      <c r="Q24" s="11">
        <v>41.649895157388727</v>
      </c>
      <c r="R24" s="12">
        <v>0</v>
      </c>
      <c r="S24" s="11">
        <v>6753.0399999999927</v>
      </c>
      <c r="T24" s="75">
        <v>51.916015113475183</v>
      </c>
      <c r="U24" s="75">
        <v>0</v>
      </c>
      <c r="V24" s="10">
        <v>7647.9786127296511</v>
      </c>
      <c r="W24" s="11">
        <v>8.6000000000000245</v>
      </c>
      <c r="X24" s="12">
        <v>7.2387508157074354</v>
      </c>
      <c r="Y24" s="11">
        <v>6068.6961864829336</v>
      </c>
      <c r="Z24" s="11">
        <v>82.285750815743825</v>
      </c>
      <c r="AA24" s="11">
        <v>92.340000000000032</v>
      </c>
      <c r="AB24" s="41">
        <v>21.520661157024776</v>
      </c>
      <c r="AC24" s="11">
        <v>0</v>
      </c>
      <c r="AD24" s="10">
        <v>3576.702818963251</v>
      </c>
      <c r="AE24" s="11">
        <v>9659.7079649670668</v>
      </c>
      <c r="AF24" s="11">
        <v>578.15825200304414</v>
      </c>
      <c r="AG24" s="11">
        <v>665.37999999999977</v>
      </c>
      <c r="AH24" s="11">
        <v>12.152248382435152</v>
      </c>
      <c r="AI24" s="11">
        <v>799.99999999908869</v>
      </c>
      <c r="AJ24" s="12">
        <v>0</v>
      </c>
      <c r="AK24" s="11">
        <v>1091.4499492093164</v>
      </c>
      <c r="AL24" s="38">
        <v>968485.29717621545</v>
      </c>
      <c r="AM24" s="11">
        <v>393.86544171599996</v>
      </c>
      <c r="AN24" s="10">
        <v>643.05459791010435</v>
      </c>
      <c r="AO24" s="41">
        <v>909562.72295405867</v>
      </c>
      <c r="AP24" s="12">
        <v>113.69809792400001</v>
      </c>
      <c r="AQ24" s="11">
        <v>446.69999999999948</v>
      </c>
      <c r="AR24" s="41">
        <v>637996.26349307562</v>
      </c>
      <c r="AS24" s="41">
        <v>41310.336655799998</v>
      </c>
      <c r="AT24" s="13">
        <v>15159.16030344908</v>
      </c>
      <c r="AU24" s="11">
        <v>85417.333333356306</v>
      </c>
      <c r="AV24" s="13">
        <v>169737.30838272985</v>
      </c>
    </row>
    <row r="25" x14ac:dyDescent="0.25">
      <c r="A25" s="32">
        <f t="shared" si="0"/>
        <v>44681</v>
      </c>
      <c r="B25" s="10">
        <v>6465.5262656495997</v>
      </c>
      <c r="C25" s="11">
        <v>85.429999999999851</v>
      </c>
      <c r="D25" s="11">
        <v>90.659384822767592</v>
      </c>
      <c r="E25" s="11">
        <v>0</v>
      </c>
      <c r="F25" s="10">
        <v>6026.7270015091808</v>
      </c>
      <c r="G25" s="11">
        <v>138.72938482281123</v>
      </c>
      <c r="H25" s="11">
        <v>133.50000000000006</v>
      </c>
      <c r="I25" s="11">
        <v>63.846363612202893</v>
      </c>
      <c r="J25" s="12">
        <v>0</v>
      </c>
      <c r="K25" s="11">
        <v>9305.9999999999909</v>
      </c>
      <c r="L25" s="11">
        <v>8.7600000000000104</v>
      </c>
      <c r="M25" s="11">
        <v>9.5115299999924332</v>
      </c>
      <c r="N25" s="10">
        <v>7489.3552981627208</v>
      </c>
      <c r="O25" s="11">
        <v>77.831529999910003</v>
      </c>
      <c r="P25" s="11">
        <v>77.079999999999785</v>
      </c>
      <c r="Q25" s="11">
        <v>40.069641535517668</v>
      </c>
      <c r="R25" s="12">
        <v>0</v>
      </c>
      <c r="S25" s="11">
        <v>6753.0369792650845</v>
      </c>
      <c r="T25" s="75">
        <v>63.52066115710879</v>
      </c>
      <c r="U25" s="75">
        <v>0</v>
      </c>
      <c r="V25" s="10">
        <v>7655.984228772958</v>
      </c>
      <c r="W25" s="11">
        <v>23.32</v>
      </c>
      <c r="X25" s="12">
        <v>3.4205024544311331</v>
      </c>
      <c r="Y25" s="11">
        <v>6074.7059649606235</v>
      </c>
      <c r="Z25" s="11">
        <v>129.80650245442229</v>
      </c>
      <c r="AA25" s="11">
        <v>170.41999999999993</v>
      </c>
      <c r="AB25" s="41">
        <v>20.826446280991718</v>
      </c>
      <c r="AC25" s="11">
        <v>0</v>
      </c>
      <c r="AD25" s="10">
        <v>3577.9364332677128</v>
      </c>
      <c r="AE25" s="11">
        <v>9763.7871367814241</v>
      </c>
      <c r="AF25" s="11">
        <v>841.69747104922226</v>
      </c>
      <c r="AG25" s="11">
        <v>1055.510000000002</v>
      </c>
      <c r="AH25" s="11">
        <v>19.291968074871008</v>
      </c>
      <c r="AI25" s="11">
        <v>710.00000000083992</v>
      </c>
      <c r="AJ25" s="12">
        <v>0</v>
      </c>
      <c r="AK25" s="11">
        <v>1088.0261856463244</v>
      </c>
      <c r="AL25" s="38">
        <v>1032745.5742617003</v>
      </c>
      <c r="AM25" s="11">
        <v>417.71533719900003</v>
      </c>
      <c r="AN25" s="10">
        <v>642.99981670275531</v>
      </c>
      <c r="AO25" s="41">
        <v>1005049.7556534301</v>
      </c>
      <c r="AP25" s="12">
        <v>125.535620827</v>
      </c>
      <c r="AQ25" s="11">
        <v>448.69999999999948</v>
      </c>
      <c r="AR25" s="41">
        <v>707787.93267066742</v>
      </c>
      <c r="AS25" s="41">
        <v>46584.964302499997</v>
      </c>
      <c r="AT25" s="13">
        <v>21471.598089383337</v>
      </c>
      <c r="AU25" s="11">
        <v>82479.333333396804</v>
      </c>
      <c r="AV25" s="13">
        <v>163488.55740483722</v>
      </c>
    </row>
    <row r="26" x14ac:dyDescent="0.25">
      <c r="A26" s="32">
        <f t="shared" si="0"/>
        <v>44712</v>
      </c>
      <c r="B26" s="10">
        <v>6479.9999999999936</v>
      </c>
      <c r="C26" s="11">
        <v>163.75000000000014</v>
      </c>
      <c r="D26" s="11">
        <v>96.790920868088151</v>
      </c>
      <c r="E26" s="11">
        <v>0</v>
      </c>
      <c r="F26" s="10">
        <v>6028.1416365813584</v>
      </c>
      <c r="G26" s="11">
        <v>178.20092086809595</v>
      </c>
      <c r="H26" s="11">
        <v>245.1600000000002</v>
      </c>
      <c r="I26" s="11">
        <v>114.94485948467049</v>
      </c>
      <c r="J26" s="12">
        <v>0</v>
      </c>
      <c r="K26" s="11">
        <v>9315.4999999999891</v>
      </c>
      <c r="L26" s="11">
        <v>28.279999999999987</v>
      </c>
      <c r="M26" s="11">
        <v>13.015520000013749</v>
      </c>
      <c r="N26" s="10">
        <v>7494.9999999999927</v>
      </c>
      <c r="O26" s="11">
        <v>205.80551999995043</v>
      </c>
      <c r="P26" s="11">
        <v>221.07000000000025</v>
      </c>
      <c r="Q26" s="11">
        <v>160.30396694718323</v>
      </c>
      <c r="R26" s="12">
        <v>0</v>
      </c>
      <c r="S26" s="11">
        <v>6753.0399999999927</v>
      </c>
      <c r="T26" s="75">
        <v>220.31595542082749</v>
      </c>
      <c r="U26" s="75">
        <v>86.117560754192795</v>
      </c>
      <c r="V26" s="10">
        <v>7662.9776072506475</v>
      </c>
      <c r="W26" s="11">
        <v>71.429999999999836</v>
      </c>
      <c r="X26" s="12">
        <v>52.740022201069031</v>
      </c>
      <c r="Y26" s="11">
        <v>6080.5301539698103</v>
      </c>
      <c r="Z26" s="11">
        <v>221.68702220176306</v>
      </c>
      <c r="AA26" s="11">
        <v>277.11000000000013</v>
      </c>
      <c r="AB26" s="41">
        <v>95.008264462893905</v>
      </c>
      <c r="AC26" s="11">
        <v>0</v>
      </c>
      <c r="AD26" s="10">
        <v>3591.7102639107575</v>
      </c>
      <c r="AE26" s="11">
        <v>10976.041059281839</v>
      </c>
      <c r="AF26" s="11">
        <v>2043.3110793694491</v>
      </c>
      <c r="AG26" s="11">
        <v>2342.9899999999989</v>
      </c>
      <c r="AH26" s="11">
        <v>24.076840597546173</v>
      </c>
      <c r="AI26" s="11">
        <v>710.00000000062983</v>
      </c>
      <c r="AJ26" s="12">
        <v>0</v>
      </c>
      <c r="AK26" s="11">
        <v>1084.6309586975055</v>
      </c>
      <c r="AL26" s="38">
        <v>993319.98985153937</v>
      </c>
      <c r="AM26" s="11">
        <v>386.44538262599997</v>
      </c>
      <c r="AN26" s="10">
        <v>642.99981670275531</v>
      </c>
      <c r="AO26" s="41">
        <v>961319.6767090651</v>
      </c>
      <c r="AP26" s="12">
        <v>120.41079449</v>
      </c>
      <c r="AQ26" s="11">
        <v>448.69999999999948</v>
      </c>
      <c r="AR26" s="41">
        <v>705133.50328367273</v>
      </c>
      <c r="AS26" s="41">
        <v>46882.453238000002</v>
      </c>
      <c r="AT26" s="13">
        <v>27987.468254985997</v>
      </c>
      <c r="AU26" s="11">
        <v>74209.33333340635</v>
      </c>
      <c r="AV26" s="13">
        <v>171820.81318884052</v>
      </c>
    </row>
    <row r="27" x14ac:dyDescent="0.25">
      <c r="A27" s="43">
        <f t="shared" si="0"/>
        <v>44742</v>
      </c>
      <c r="B27" s="11">
        <v>6499.9999999999936</v>
      </c>
      <c r="C27" s="11">
        <v>299.22999999999979</v>
      </c>
      <c r="D27" s="11">
        <v>165.05527000018432</v>
      </c>
      <c r="E27" s="11">
        <v>62.837063657610535</v>
      </c>
      <c r="F27" s="10">
        <v>6029.154469094482</v>
      </c>
      <c r="G27" s="11">
        <v>255.53527000079617</v>
      </c>
      <c r="H27" s="11">
        <v>389.70999999999987</v>
      </c>
      <c r="I27" s="11">
        <v>204.91441813056758</v>
      </c>
      <c r="J27" s="12">
        <v>0</v>
      </c>
      <c r="K27" s="11">
        <v>9327.9999999999891</v>
      </c>
      <c r="L27" s="11">
        <v>41.72000000000002</v>
      </c>
      <c r="M27" s="11">
        <v>18.515979999999587</v>
      </c>
      <c r="N27" s="10">
        <v>7516.3999999999924</v>
      </c>
      <c r="O27" s="11">
        <v>237.84598000097697</v>
      </c>
      <c r="P27" s="11">
        <v>261.04999999999984</v>
      </c>
      <c r="Q27" s="11">
        <v>54.732171925434677</v>
      </c>
      <c r="R27" s="12">
        <v>0</v>
      </c>
      <c r="S27" s="11">
        <v>6753.0346360564236</v>
      </c>
      <c r="T27" s="75">
        <v>108.35632380596572</v>
      </c>
      <c r="U27" s="75">
        <v>0</v>
      </c>
      <c r="V27" s="10">
        <v>7664.8199240485483</v>
      </c>
      <c r="W27" s="11">
        <v>70.349999999999724</v>
      </c>
      <c r="X27" s="12">
        <v>64.786150850636176</v>
      </c>
      <c r="Y27" s="11">
        <v>6076.9646636810958</v>
      </c>
      <c r="Z27" s="11">
        <v>189.22615085062262</v>
      </c>
      <c r="AA27" s="11">
        <v>223.57000000000002</v>
      </c>
      <c r="AB27" s="41">
        <v>183.54054411598159</v>
      </c>
      <c r="AC27" s="11">
        <v>0</v>
      </c>
      <c r="AD27" s="10">
        <v>3606.5759013779493</v>
      </c>
      <c r="AE27" s="11">
        <v>12388.727544609084</v>
      </c>
      <c r="AF27" s="11">
        <v>2317.2762860446746</v>
      </c>
      <c r="AG27" s="11">
        <v>2666.0499999999984</v>
      </c>
      <c r="AH27" s="11">
        <v>41.574878970704205</v>
      </c>
      <c r="AI27" s="11">
        <v>749.99999999999943</v>
      </c>
      <c r="AJ27" s="12">
        <v>0</v>
      </c>
      <c r="AK27" s="11">
        <v>1081.8292346948806</v>
      </c>
      <c r="AL27" s="38">
        <v>947276.73987977346</v>
      </c>
      <c r="AM27" s="11">
        <v>368.23830936500002</v>
      </c>
      <c r="AN27" s="10">
        <v>642.99981670275531</v>
      </c>
      <c r="AO27" s="41">
        <v>907066.82484125288</v>
      </c>
      <c r="AP27" s="12">
        <v>113.727418937</v>
      </c>
      <c r="AQ27" s="11">
        <v>448.69999999999948</v>
      </c>
      <c r="AR27" s="41">
        <v>717551.92435408127</v>
      </c>
      <c r="AS27" s="41">
        <v>47778.873962700003</v>
      </c>
      <c r="AT27" s="13">
        <v>28081.426430512434</v>
      </c>
      <c r="AU27" s="11">
        <v>71633.333333232411</v>
      </c>
      <c r="AV27" s="13">
        <v>99959.736082482385</v>
      </c>
    </row>
    <row r="28" x14ac:dyDescent="0.25">
      <c r="A28" s="43">
        <f t="shared" si="0"/>
        <v>44773</v>
      </c>
      <c r="B28" s="11">
        <v>6505.4999999999936</v>
      </c>
      <c r="C28" s="11">
        <v>177.52000000000007</v>
      </c>
      <c r="D28" s="11">
        <v>132.09871748032728</v>
      </c>
      <c r="E28" s="11">
        <v>31.323239880804461</v>
      </c>
      <c r="F28" s="10">
        <v>6029.9961980314893</v>
      </c>
      <c r="G28" s="11">
        <v>164.74871748026283</v>
      </c>
      <c r="H28" s="11">
        <v>210.1699999999999</v>
      </c>
      <c r="I28" s="11">
        <v>117.46012436736905</v>
      </c>
      <c r="J28" s="12">
        <v>0</v>
      </c>
      <c r="K28" s="11">
        <v>9326.4999999999909</v>
      </c>
      <c r="L28" s="11">
        <v>20.140000000000033</v>
      </c>
      <c r="M28" s="11">
        <v>23.102049999992875</v>
      </c>
      <c r="N28" s="10">
        <v>7516.3999999999924</v>
      </c>
      <c r="O28" s="11">
        <v>119.8120499999558</v>
      </c>
      <c r="P28" s="11">
        <v>116.84999999999992</v>
      </c>
      <c r="Q28" s="11">
        <v>118.22445255260982</v>
      </c>
      <c r="R28" s="12">
        <v>0</v>
      </c>
      <c r="S28" s="11">
        <v>6753.0399999999927</v>
      </c>
      <c r="T28" s="11">
        <v>138.80709586317889</v>
      </c>
      <c r="U28" s="11">
        <v>4.6079793022005386</v>
      </c>
      <c r="V28" s="10">
        <v>7659.9537665354255</v>
      </c>
      <c r="W28" s="11">
        <v>29.009999999999987</v>
      </c>
      <c r="X28" s="12">
        <v>41.368275034126512</v>
      </c>
      <c r="Y28" s="11">
        <v>6072.5559511482879</v>
      </c>
      <c r="Z28" s="11">
        <v>73.53527503412748</v>
      </c>
      <c r="AA28" s="11">
        <v>65.989999999999853</v>
      </c>
      <c r="AB28" s="41">
        <v>74.378146976726327</v>
      </c>
      <c r="AC28" s="11">
        <v>0</v>
      </c>
      <c r="AD28" s="10">
        <v>3608.1371377952719</v>
      </c>
      <c r="AE28" s="11">
        <v>12543.703218981458</v>
      </c>
      <c r="AF28" s="11">
        <v>1070.1583672069628</v>
      </c>
      <c r="AG28" s="11">
        <v>1090.8399999999995</v>
      </c>
      <c r="AH28" s="11">
        <v>52.784642947117277</v>
      </c>
      <c r="AI28" s="11">
        <v>850.00000000378179</v>
      </c>
      <c r="AJ28" s="12">
        <v>0</v>
      </c>
      <c r="AK28" s="11">
        <v>1081.8363806627285</v>
      </c>
      <c r="AL28" s="38">
        <v>827005.15071909409</v>
      </c>
      <c r="AM28" s="11">
        <v>321.17884821899997</v>
      </c>
      <c r="AN28" s="10">
        <v>641.99704448162663</v>
      </c>
      <c r="AO28" s="41">
        <v>817131.15658543177</v>
      </c>
      <c r="AP28" s="12">
        <v>102.59563463800001</v>
      </c>
      <c r="AQ28" s="11">
        <v>447.99999999999949</v>
      </c>
      <c r="AR28" s="41">
        <v>692601.83758858312</v>
      </c>
      <c r="AS28" s="41">
        <v>45846.450227599998</v>
      </c>
      <c r="AT28" s="13">
        <v>28576.215354325712</v>
      </c>
      <c r="AU28" s="11">
        <v>74202.333333231058</v>
      </c>
      <c r="AV28" s="13">
        <v>52052.351344924296</v>
      </c>
    </row>
    <row r="29" x14ac:dyDescent="0.25">
      <c r="A29" s="43">
        <f t="shared" si="0"/>
        <v>44804</v>
      </c>
      <c r="B29" s="11">
        <v>6502.2570113516995</v>
      </c>
      <c r="C29" s="11">
        <v>76.510000000000318</v>
      </c>
      <c r="D29" s="11">
        <v>99.723852525915049</v>
      </c>
      <c r="E29" s="11">
        <v>0</v>
      </c>
      <c r="F29" s="10">
        <v>6029.5790147637726</v>
      </c>
      <c r="G29" s="11">
        <v>111.84385252580884</v>
      </c>
      <c r="H29" s="11">
        <v>88.629999999999896</v>
      </c>
      <c r="I29" s="11">
        <v>115.80008208695644</v>
      </c>
      <c r="J29" s="12">
        <v>0</v>
      </c>
      <c r="K29" s="11">
        <v>9319.9999999999891</v>
      </c>
      <c r="L29" s="11">
        <v>10.299999999999986</v>
      </c>
      <c r="M29" s="11">
        <v>22.584350000033176</v>
      </c>
      <c r="N29" s="10">
        <v>7511.5783436351621</v>
      </c>
      <c r="O29" s="11">
        <v>75.744350000005937</v>
      </c>
      <c r="P29" s="11">
        <v>63.460000000000093</v>
      </c>
      <c r="Q29" s="11">
        <v>117.42816393057237</v>
      </c>
      <c r="R29" s="12">
        <v>0</v>
      </c>
      <c r="S29" s="11">
        <v>6753.0399999999927</v>
      </c>
      <c r="T29" s="11">
        <v>128.83236091896242</v>
      </c>
      <c r="U29" s="11">
        <v>0</v>
      </c>
      <c r="V29" s="10">
        <v>7651.9529620078665</v>
      </c>
      <c r="W29" s="11">
        <v>19.799999999999976</v>
      </c>
      <c r="X29" s="12">
        <v>39.602772367842114</v>
      </c>
      <c r="Y29" s="11">
        <v>6067.952138221779</v>
      </c>
      <c r="Z29" s="11">
        <v>62.888772367937015</v>
      </c>
      <c r="AA29" s="11">
        <v>45.090000000000032</v>
      </c>
      <c r="AB29" s="41">
        <v>74.378146976726327</v>
      </c>
      <c r="AC29" s="11">
        <v>0</v>
      </c>
      <c r="AD29" s="10">
        <v>3605.4058066929092</v>
      </c>
      <c r="AE29" s="11">
        <v>12273.420483029005</v>
      </c>
      <c r="AF29" s="11">
        <v>660.65158998374409</v>
      </c>
      <c r="AG29" s="11">
        <v>499.88000000000005</v>
      </c>
      <c r="AH29" s="11">
        <v>52.556937744778466</v>
      </c>
      <c r="AI29" s="11">
        <v>899.99999999761769</v>
      </c>
      <c r="AJ29" s="12">
        <v>0</v>
      </c>
      <c r="AK29" s="11">
        <v>1083.0134247047231</v>
      </c>
      <c r="AL29" s="38">
        <v>785459.91159842536</v>
      </c>
      <c r="AM29" s="11">
        <v>303.92060570399997</v>
      </c>
      <c r="AN29" s="10">
        <v>641.99704448162663</v>
      </c>
      <c r="AO29" s="41">
        <v>750589.58739672962</v>
      </c>
      <c r="AP29" s="12">
        <v>94.174334311500004</v>
      </c>
      <c r="AQ29" s="11">
        <v>447.50000000328043</v>
      </c>
      <c r="AR29" s="41">
        <v>622801.01913651917</v>
      </c>
      <c r="AS29" s="41">
        <v>40817.076072999997</v>
      </c>
      <c r="AT29" s="13">
        <v>29056.350250718766</v>
      </c>
      <c r="AU29" s="11">
        <v>74202.333333231058</v>
      </c>
      <c r="AV29" s="13">
        <v>52052.351344924296</v>
      </c>
    </row>
    <row r="30" x14ac:dyDescent="0.25">
      <c r="A30" s="43">
        <f t="shared" si="0"/>
        <v>44834</v>
      </c>
      <c r="B30" s="11">
        <v>6499.0453864829333</v>
      </c>
      <c r="C30" s="11">
        <v>45.86999999999999</v>
      </c>
      <c r="D30" s="11">
        <v>68.41724498709236</v>
      </c>
      <c r="E30" s="11">
        <v>0</v>
      </c>
      <c r="F30" s="10">
        <v>6028.3762898293899</v>
      </c>
      <c r="G30" s="11">
        <v>77.657244986893971</v>
      </c>
      <c r="H30" s="11">
        <v>55.110000000000021</v>
      </c>
      <c r="I30" s="11">
        <v>114.28702059802106</v>
      </c>
      <c r="J30" s="12">
        <v>0</v>
      </c>
      <c r="K30" s="11">
        <v>9311.4999999999891</v>
      </c>
      <c r="L30" s="11">
        <v>7.3700000000000259</v>
      </c>
      <c r="M30" s="11">
        <v>22.008319999922612</v>
      </c>
      <c r="N30" s="10">
        <v>7503.5785973425118</v>
      </c>
      <c r="O30" s="11">
        <v>52.678320000058754</v>
      </c>
      <c r="P30" s="11">
        <v>38.040000000000006</v>
      </c>
      <c r="Q30" s="11">
        <v>120.23076796034957</v>
      </c>
      <c r="R30" s="12">
        <v>0</v>
      </c>
      <c r="S30" s="11">
        <v>6753.0362407480252</v>
      </c>
      <c r="T30" s="11">
        <v>128.87756897833529</v>
      </c>
      <c r="U30" s="11">
        <v>80.955680708886078</v>
      </c>
      <c r="V30" s="10">
        <v>7645.9595132873937</v>
      </c>
      <c r="W30" s="11">
        <v>17.470000000000006</v>
      </c>
      <c r="X30" s="12">
        <v>31.362574748227875</v>
      </c>
      <c r="Y30" s="11">
        <v>6063.0000014107554</v>
      </c>
      <c r="Z30" s="11">
        <v>55.32957474829611</v>
      </c>
      <c r="AA30" s="11">
        <v>43.189999999999991</v>
      </c>
      <c r="AB30" s="41">
        <v>92.163801130166121</v>
      </c>
      <c r="AC30" s="11">
        <v>0</v>
      </c>
      <c r="AD30" s="10">
        <v>3604.5407232939597</v>
      </c>
      <c r="AE30" s="11">
        <v>12188.635528588224</v>
      </c>
      <c r="AF30" s="11">
        <v>626.45139070693631</v>
      </c>
      <c r="AG30" s="11">
        <v>408.20999999999992</v>
      </c>
      <c r="AH30" s="11">
        <v>48.019139347577216</v>
      </c>
      <c r="AI30" s="11">
        <v>669.9999999764641</v>
      </c>
      <c r="AJ30" s="12">
        <v>0</v>
      </c>
      <c r="AK30" s="11">
        <v>1082.4216660695527</v>
      </c>
      <c r="AL30" s="38">
        <v>713643.93821070017</v>
      </c>
      <c r="AM30" s="11">
        <v>274.63170205</v>
      </c>
      <c r="AN30" s="10">
        <v>640.00753110564244</v>
      </c>
      <c r="AO30" s="41">
        <v>734656.72852739703</v>
      </c>
      <c r="AP30" s="12">
        <v>91.483107601599997</v>
      </c>
      <c r="AQ30" s="11">
        <v>447.49999999999949</v>
      </c>
      <c r="AR30" s="41">
        <v>529610.88653218886</v>
      </c>
      <c r="AS30" s="41">
        <v>34460.645735999999</v>
      </c>
      <c r="AT30" s="13">
        <v>25083.3848328764</v>
      </c>
      <c r="AU30" s="11">
        <v>56163.333333281174</v>
      </c>
      <c r="AV30" s="13">
        <v>140577.05829921638</v>
      </c>
    </row>
    <row r="31" x14ac:dyDescent="0.25">
      <c r="A31" s="43">
        <f t="shared" si="0"/>
        <v>44865</v>
      </c>
      <c r="B31" s="11"/>
      <c r="C31" s="11"/>
      <c r="D31" s="11"/>
      <c r="E31" s="11"/>
      <c r="F31" s="10"/>
      <c r="G31" s="11"/>
      <c r="H31" s="11"/>
      <c r="I31" s="11"/>
      <c r="J31" s="12"/>
      <c r="K31" s="11"/>
      <c r="L31" s="11"/>
      <c r="M31" s="11"/>
      <c r="N31" s="10"/>
      <c r="O31" s="11"/>
      <c r="P31" s="11"/>
      <c r="Q31" s="11"/>
      <c r="R31" s="12"/>
      <c r="S31" s="11"/>
      <c r="T31" s="11"/>
      <c r="U31" s="11"/>
      <c r="V31" s="10"/>
      <c r="W31" s="11"/>
      <c r="X31" s="12"/>
      <c r="Y31" s="11"/>
      <c r="Z31" s="11"/>
      <c r="AA31" s="11"/>
      <c r="AB31" s="41"/>
      <c r="AC31" s="11"/>
      <c r="AD31" s="10"/>
      <c r="AE31" s="11"/>
      <c r="AF31" s="11"/>
      <c r="AG31" s="11"/>
      <c r="AH31" s="11"/>
      <c r="AI31" s="11"/>
      <c r="AJ31" s="12"/>
      <c r="AK31" s="11"/>
      <c r="AL31" s="38"/>
      <c r="AM31" s="11"/>
      <c r="AN31" s="10"/>
      <c r="AO31" s="41"/>
      <c r="AP31" s="12"/>
      <c r="AQ31" s="11"/>
      <c r="AR31" s="41"/>
      <c r="AS31" s="41"/>
      <c r="AT31" s="13"/>
      <c r="AU31" s="11"/>
      <c r="AV31" s="13"/>
    </row>
    <row r="32" x14ac:dyDescent="0.25">
      <c r="A32" s="43">
        <f t="shared" si="0"/>
        <v>44895</v>
      </c>
      <c r="B32" s="11"/>
      <c r="C32" s="11"/>
      <c r="D32" s="11"/>
      <c r="E32" s="11"/>
      <c r="F32" s="10"/>
      <c r="G32" s="11"/>
      <c r="H32" s="11"/>
      <c r="I32" s="11"/>
      <c r="J32" s="12"/>
      <c r="K32" s="11"/>
      <c r="L32" s="11"/>
      <c r="M32" s="11"/>
      <c r="N32" s="10"/>
      <c r="O32" s="11"/>
      <c r="P32" s="11"/>
      <c r="Q32" s="11"/>
      <c r="R32" s="12"/>
      <c r="S32" s="11"/>
      <c r="T32" s="11"/>
      <c r="U32" s="11"/>
      <c r="V32" s="10"/>
      <c r="W32" s="11"/>
      <c r="X32" s="12"/>
      <c r="Y32" s="11"/>
      <c r="Z32" s="11"/>
      <c r="AA32" s="11"/>
      <c r="AB32" s="41"/>
      <c r="AC32" s="11"/>
      <c r="AD32" s="10"/>
      <c r="AE32" s="11"/>
      <c r="AF32" s="11"/>
      <c r="AG32" s="11"/>
      <c r="AH32" s="11"/>
      <c r="AI32" s="11"/>
      <c r="AJ32" s="12"/>
      <c r="AK32" s="11"/>
      <c r="AL32" s="38"/>
      <c r="AM32" s="11"/>
      <c r="AN32" s="10"/>
      <c r="AO32" s="41"/>
      <c r="AP32" s="12"/>
      <c r="AQ32" s="11"/>
      <c r="AR32" s="41"/>
      <c r="AS32" s="41"/>
      <c r="AT32" s="13"/>
      <c r="AU32" s="11"/>
      <c r="AV32" s="13"/>
    </row>
    <row r="33" x14ac:dyDescent="0.25">
      <c r="A33" s="43">
        <f t="shared" si="0"/>
        <v>44926</v>
      </c>
      <c r="B33" s="11"/>
      <c r="C33" s="11"/>
      <c r="D33" s="11"/>
      <c r="E33" s="11"/>
      <c r="F33" s="10"/>
      <c r="G33" s="11"/>
      <c r="H33" s="11"/>
      <c r="I33" s="11"/>
      <c r="J33" s="12"/>
      <c r="K33" s="11"/>
      <c r="L33" s="11"/>
      <c r="M33" s="11"/>
      <c r="N33" s="10"/>
      <c r="O33" s="11"/>
      <c r="P33" s="11"/>
      <c r="Q33" s="11"/>
      <c r="R33" s="12"/>
      <c r="S33" s="11"/>
      <c r="T33" s="11"/>
      <c r="U33" s="11"/>
      <c r="V33" s="10"/>
      <c r="W33" s="11"/>
      <c r="X33" s="12"/>
      <c r="Y33" s="11"/>
      <c r="Z33" s="11"/>
      <c r="AA33" s="11"/>
      <c r="AB33" s="41"/>
      <c r="AC33" s="11"/>
      <c r="AD33" s="10"/>
      <c r="AE33" s="11"/>
      <c r="AF33" s="11"/>
      <c r="AG33" s="11"/>
      <c r="AH33" s="11"/>
      <c r="AI33" s="11"/>
      <c r="AJ33" s="12"/>
      <c r="AK33" s="11"/>
      <c r="AL33" s="38"/>
      <c r="AM33" s="11"/>
      <c r="AN33" s="10"/>
      <c r="AO33" s="41"/>
      <c r="AP33" s="12"/>
      <c r="AQ33" s="11"/>
      <c r="AR33" s="41"/>
      <c r="AS33" s="41"/>
      <c r="AT33" s="13"/>
      <c r="AU33" s="11"/>
      <c r="AV33" s="13"/>
    </row>
    <row r="34" x14ac:dyDescent="0.25">
      <c r="A34" s="43">
        <f t="shared" si="0"/>
        <v>44957</v>
      </c>
      <c r="B34" s="11"/>
      <c r="C34" s="11"/>
      <c r="D34" s="11"/>
      <c r="E34" s="11"/>
      <c r="F34" s="10"/>
      <c r="G34" s="11"/>
      <c r="H34" s="11"/>
      <c r="I34" s="11"/>
      <c r="J34" s="12"/>
      <c r="K34" s="11"/>
      <c r="L34" s="11"/>
      <c r="M34" s="11"/>
      <c r="N34" s="10"/>
      <c r="O34" s="11"/>
      <c r="P34" s="11"/>
      <c r="Q34" s="11"/>
      <c r="R34" s="12"/>
      <c r="S34" s="11"/>
      <c r="T34" s="11"/>
      <c r="U34" s="11"/>
      <c r="V34" s="10"/>
      <c r="W34" s="11"/>
      <c r="X34" s="12"/>
      <c r="Y34" s="11"/>
      <c r="Z34" s="11"/>
      <c r="AA34" s="11"/>
      <c r="AB34" s="41"/>
      <c r="AC34" s="11"/>
      <c r="AD34" s="10"/>
      <c r="AE34" s="11"/>
      <c r="AF34" s="11"/>
      <c r="AG34" s="11"/>
      <c r="AH34" s="11"/>
      <c r="AI34" s="11"/>
      <c r="AJ34" s="12"/>
      <c r="AK34" s="11"/>
      <c r="AL34" s="38"/>
      <c r="AM34" s="11"/>
      <c r="AN34" s="10"/>
      <c r="AO34" s="41"/>
      <c r="AP34" s="12"/>
      <c r="AQ34" s="11"/>
      <c r="AR34" s="41"/>
      <c r="AS34" s="41"/>
      <c r="AT34" s="13"/>
      <c r="AU34" s="11"/>
      <c r="AV34" s="13"/>
    </row>
    <row r="35" x14ac:dyDescent="0.25">
      <c r="A35" s="44">
        <f t="shared" si="0"/>
        <v>44985</v>
      </c>
      <c r="B35" s="15"/>
      <c r="C35" s="15"/>
      <c r="D35" s="15"/>
      <c r="E35" s="15"/>
      <c r="F35" s="14"/>
      <c r="G35" s="15"/>
      <c r="H35" s="15"/>
      <c r="I35" s="15"/>
      <c r="J35" s="16"/>
      <c r="K35" s="15"/>
      <c r="L35" s="15"/>
      <c r="M35" s="15"/>
      <c r="N35" s="14"/>
      <c r="O35" s="15"/>
      <c r="P35" s="15"/>
      <c r="Q35" s="15"/>
      <c r="R35" s="16"/>
      <c r="S35" s="15"/>
      <c r="T35" s="15"/>
      <c r="U35" s="15"/>
      <c r="V35" s="14"/>
      <c r="W35" s="15"/>
      <c r="X35" s="16"/>
      <c r="Y35" s="15"/>
      <c r="Z35" s="15"/>
      <c r="AA35" s="15"/>
      <c r="AB35" s="42"/>
      <c r="AC35" s="15"/>
      <c r="AD35" s="14"/>
      <c r="AE35" s="15"/>
      <c r="AF35" s="15"/>
      <c r="AG35" s="15"/>
      <c r="AH35" s="15"/>
      <c r="AI35" s="15"/>
      <c r="AJ35" s="16"/>
      <c r="AK35" s="15"/>
      <c r="AL35" s="39"/>
      <c r="AM35" s="15"/>
      <c r="AN35" s="14"/>
      <c r="AO35" s="42"/>
      <c r="AP35" s="16"/>
      <c r="AQ35" s="15"/>
      <c r="AR35" s="42"/>
      <c r="AS35" s="42"/>
      <c r="AT35" s="17"/>
      <c r="AU35" s="15"/>
      <c r="AV35" s="17"/>
    </row>
  </sheetData>
  <mergeCells count="13">
    <mergeCell ref="AB1:AV1"/>
    <mergeCell ref="B1:Y1"/>
    <mergeCell ref="V2:X2"/>
    <mergeCell ref="B2:E2"/>
    <mergeCell ref="F2:J2"/>
    <mergeCell ref="K2:M2"/>
    <mergeCell ref="N2:R2"/>
    <mergeCell ref="S2:U2"/>
    <mergeCell ref="Y2:AC2"/>
    <mergeCell ref="AD2:AJ2"/>
    <mergeCell ref="AK2:AM2"/>
    <mergeCell ref="AN2:AP2"/>
    <mergeCell ref="AQ2:AS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/>
  </sheetPr>
  <dimension ref="A1:AV35"/>
  <sheetViews>
    <sheetView zoomScale="90" zoomScaleNormal="90" workbookViewId="0">
      <selection activeCell="AK36" sqref="AK36"/>
    </sheetView>
  </sheetViews>
  <sheetFormatPr defaultRowHeight="15" x14ac:dyDescent="0.25"/>
  <cols>
    <col min="1" max="1" width="16.42578125" customWidth="true"/>
    <col min="2" max="2" width="9.28515625" bestFit="true" customWidth="true"/>
    <col min="3" max="3" width="9.28515625" customWidth="true"/>
    <col min="4" max="6" width="9.28515625" bestFit="true" customWidth="true"/>
    <col min="7" max="8" width="9.28515625" customWidth="true"/>
    <col min="9" max="11" width="9.28515625" bestFit="true" customWidth="true"/>
    <col min="12" max="12" width="9.28515625" customWidth="true"/>
    <col min="13" max="14" width="9.28515625" bestFit="true" customWidth="true"/>
    <col min="15" max="16" width="9.28515625" customWidth="true"/>
    <col min="17" max="19" width="9.28515625" bestFit="true" customWidth="true"/>
    <col min="20" max="20" width="12.28515625" bestFit="true" customWidth="true"/>
    <col min="21" max="22" width="9.28515625" bestFit="true" customWidth="true"/>
    <col min="23" max="23" width="9.28515625" customWidth="true"/>
    <col min="24" max="25" width="9.28515625" bestFit="true" customWidth="true"/>
    <col min="26" max="27" width="9.28515625" customWidth="true"/>
    <col min="28" max="28" width="10.28515625" bestFit="true" customWidth="true"/>
    <col min="29" max="30" width="9.28515625" bestFit="true" customWidth="true"/>
    <col min="31" max="31" width="13.140625" customWidth="true"/>
    <col min="32" max="34" width="9.28515625" customWidth="true"/>
    <col min="35" max="37" width="9.28515625" bestFit="true" customWidth="true"/>
    <col min="38" max="38" width="15.7109375" customWidth="true"/>
    <col min="39" max="45" width="9.28515625" bestFit="true" customWidth="true"/>
    <col min="46" max="46" width="28.85546875" customWidth="true"/>
    <col min="47" max="48" width="19.140625" customWidth="true"/>
  </cols>
  <sheetData>
    <row r="1" ht="18.75" x14ac:dyDescent="0.3">
      <c r="A1" s="1"/>
      <c r="B1" s="125" t="s">
        <v>63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62"/>
      <c r="AA1" s="62"/>
      <c r="AB1" s="125" t="s">
        <v>63</v>
      </c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</row>
    <row r="2" x14ac:dyDescent="0.25">
      <c r="A2" s="51"/>
      <c r="B2" s="127" t="s">
        <v>7</v>
      </c>
      <c r="C2" s="126"/>
      <c r="D2" s="126"/>
      <c r="E2" s="126"/>
      <c r="F2" s="127" t="s">
        <v>6</v>
      </c>
      <c r="G2" s="126"/>
      <c r="H2" s="126"/>
      <c r="I2" s="126"/>
      <c r="J2" s="128"/>
      <c r="K2" s="126" t="s">
        <v>5</v>
      </c>
      <c r="L2" s="126"/>
      <c r="M2" s="126"/>
      <c r="N2" s="127" t="s">
        <v>4</v>
      </c>
      <c r="O2" s="126"/>
      <c r="P2" s="126"/>
      <c r="Q2" s="126"/>
      <c r="R2" s="128"/>
      <c r="S2" s="126" t="s">
        <v>8</v>
      </c>
      <c r="T2" s="126"/>
      <c r="U2" s="126"/>
      <c r="V2" s="127" t="s">
        <v>9</v>
      </c>
      <c r="W2" s="126"/>
      <c r="X2" s="128"/>
      <c r="Y2" s="126" t="s">
        <v>10</v>
      </c>
      <c r="Z2" s="126"/>
      <c r="AA2" s="126"/>
      <c r="AB2" s="126"/>
      <c r="AC2" s="126"/>
      <c r="AD2" s="127" t="s">
        <v>11</v>
      </c>
      <c r="AE2" s="126"/>
      <c r="AF2" s="126"/>
      <c r="AG2" s="126"/>
      <c r="AH2" s="126"/>
      <c r="AI2" s="126"/>
      <c r="AJ2" s="128"/>
      <c r="AK2" s="126" t="s">
        <v>12</v>
      </c>
      <c r="AL2" s="126"/>
      <c r="AM2" s="126"/>
      <c r="AN2" s="127" t="s">
        <v>14</v>
      </c>
      <c r="AO2" s="126"/>
      <c r="AP2" s="128"/>
      <c r="AQ2" s="126" t="s">
        <v>15</v>
      </c>
      <c r="AR2" s="126"/>
      <c r="AS2" s="126"/>
      <c r="AT2" s="34" t="s">
        <v>16</v>
      </c>
      <c r="AU2" s="33" t="s">
        <v>17</v>
      </c>
      <c r="AV2" s="34" t="s">
        <v>18</v>
      </c>
    </row>
    <row r="3" x14ac:dyDescent="0.25">
      <c r="A3" s="52"/>
      <c r="B3" s="45" t="s">
        <v>1</v>
      </c>
      <c r="C3" s="46" t="s">
        <v>134</v>
      </c>
      <c r="D3" s="46" t="s">
        <v>2</v>
      </c>
      <c r="E3" s="46" t="s">
        <v>3</v>
      </c>
      <c r="F3" s="45" t="s">
        <v>1</v>
      </c>
      <c r="G3" s="46" t="s">
        <v>134</v>
      </c>
      <c r="H3" s="46" t="s">
        <v>135</v>
      </c>
      <c r="I3" s="46" t="s">
        <v>2</v>
      </c>
      <c r="J3" s="47" t="s">
        <v>3</v>
      </c>
      <c r="K3" s="46" t="s">
        <v>1</v>
      </c>
      <c r="L3" s="46" t="s">
        <v>134</v>
      </c>
      <c r="M3" s="46" t="s">
        <v>2</v>
      </c>
      <c r="N3" s="45" t="s">
        <v>1</v>
      </c>
      <c r="O3" s="46" t="s">
        <v>134</v>
      </c>
      <c r="P3" s="46" t="s">
        <v>135</v>
      </c>
      <c r="Q3" s="46" t="s">
        <v>2</v>
      </c>
      <c r="R3" s="47" t="s">
        <v>3</v>
      </c>
      <c r="S3" s="46" t="s">
        <v>1</v>
      </c>
      <c r="T3" s="46" t="s">
        <v>2</v>
      </c>
      <c r="U3" s="46" t="s">
        <v>3</v>
      </c>
      <c r="V3" s="45" t="s">
        <v>1</v>
      </c>
      <c r="W3" s="46" t="s">
        <v>134</v>
      </c>
      <c r="X3" s="47" t="s">
        <v>2</v>
      </c>
      <c r="Y3" s="46" t="s">
        <v>1</v>
      </c>
      <c r="Z3" s="46" t="s">
        <v>134</v>
      </c>
      <c r="AA3" s="46" t="s">
        <v>135</v>
      </c>
      <c r="AB3" s="46" t="s">
        <v>2</v>
      </c>
      <c r="AC3" s="46" t="s">
        <v>3</v>
      </c>
      <c r="AD3" s="45" t="s">
        <v>1</v>
      </c>
      <c r="AE3" s="46" t="s">
        <v>136</v>
      </c>
      <c r="AF3" s="46" t="s">
        <v>134</v>
      </c>
      <c r="AG3" s="46" t="s">
        <v>135</v>
      </c>
      <c r="AH3" s="46" t="s">
        <v>137</v>
      </c>
      <c r="AI3" s="46" t="s">
        <v>2</v>
      </c>
      <c r="AJ3" s="47" t="s">
        <v>3</v>
      </c>
      <c r="AK3" s="46" t="s">
        <v>1</v>
      </c>
      <c r="AL3" s="46" t="s">
        <v>2</v>
      </c>
      <c r="AM3" s="46" t="s">
        <v>13</v>
      </c>
      <c r="AN3" s="45" t="s">
        <v>1</v>
      </c>
      <c r="AO3" s="46" t="s">
        <v>2</v>
      </c>
      <c r="AP3" s="47" t="s">
        <v>13</v>
      </c>
      <c r="AQ3" s="46" t="s">
        <v>1</v>
      </c>
      <c r="AR3" s="46" t="s">
        <v>2</v>
      </c>
      <c r="AS3" s="46" t="s">
        <v>13</v>
      </c>
      <c r="AT3" s="48" t="s">
        <v>19</v>
      </c>
      <c r="AU3" s="46" t="s">
        <v>19</v>
      </c>
      <c r="AV3" s="48" t="s">
        <v>19</v>
      </c>
    </row>
    <row r="4" x14ac:dyDescent="0.25">
      <c r="A4" s="53">
        <f>RunInformation!AD5</f>
        <v>44043</v>
      </c>
      <c r="B4" s="6">
        <f>'24MS_Data'!B4-MTOM_Data!B4</f>
        <v>6503.7611062335891</v>
      </c>
      <c r="C4" s="7">
        <f>'24MS_Data'!C4-MTOM_Data!C4</f>
        <v>138.00000000000003</v>
      </c>
      <c r="D4" s="7">
        <f>'24MS_Data'!D4-MTOM_Data!D4</f>
        <v>117.21999999999998</v>
      </c>
      <c r="E4" s="7">
        <f>'24MS_Data'!E4-MTOM_Data!E4</f>
        <v>16.298869429958728</v>
      </c>
      <c r="F4" s="6">
        <f>'24MS_Data'!F4-MTOM_Data!F4</f>
        <v>6028.6884883858202</v>
      </c>
      <c r="G4" s="7">
        <f>'24MS_Data'!G4-MTOM_Data!G4</f>
        <v>129.22000000008421</v>
      </c>
      <c r="H4" s="7">
        <f>'24MS_Data'!H4-MTOM_Data!H4</f>
        <v>149.99999999999997</v>
      </c>
      <c r="I4" s="7">
        <f>'24MS_Data'!I4-MTOM_Data!I4</f>
        <v>79.040000000000049</v>
      </c>
      <c r="J4" s="8">
        <f>'24MS_Data'!J4-MTOM_Data!J4</f>
        <v>0</v>
      </c>
      <c r="K4" s="7">
        <f>'24MS_Data'!K4-MTOM_Data!K4</f>
        <v>9316.7186774278125</v>
      </c>
      <c r="L4" s="7">
        <f>'24MS_Data'!L4-MTOM_Data!L4</f>
        <v>10.000000000000018</v>
      </c>
      <c r="M4" s="7">
        <f>'24MS_Data'!M4-MTOM_Data!M4</f>
        <v>21.519999999999982</v>
      </c>
      <c r="N4" s="6">
        <f>'24MS_Data'!N4-MTOM_Data!N4</f>
        <v>7486.0261948490734</v>
      </c>
      <c r="O4" s="7">
        <f>'24MS_Data'!O4-MTOM_Data!O4</f>
        <v>58.52000000008848</v>
      </c>
      <c r="P4" s="7">
        <f>'24MS_Data'!P4-MTOM_Data!P4</f>
        <v>46.999999999999979</v>
      </c>
      <c r="Q4" s="7">
        <f>'24MS_Data'!Q4-MTOM_Data!Q4</f>
        <v>100.5100000000002</v>
      </c>
      <c r="R4" s="8">
        <f>'24MS_Data'!R4-MTOM_Data!R4</f>
        <v>0</v>
      </c>
      <c r="S4" s="7">
        <f>'24MS_Data'!S4-MTOM_Data!S4</f>
        <v>6749.6333542978937</v>
      </c>
      <c r="T4" s="7">
        <f>'24MS_Data'!T4-MTOM_Data!T4</f>
        <v>1779.7408602142139</v>
      </c>
      <c r="U4" s="7">
        <f>'24MS_Data'!U4-MTOM_Data!U4</f>
        <v>0</v>
      </c>
      <c r="V4" s="6">
        <f>'24MS_Data'!V4-MTOM_Data!V4</f>
        <v>7648.6692079068162</v>
      </c>
      <c r="W4" s="7">
        <f>'24MS_Data'!W4-MTOM_Data!W4</f>
        <v>12.000000000000009</v>
      </c>
      <c r="X4" s="8">
        <f>'24MS_Data'!X4-MTOM_Data!X4</f>
        <v>41.330000000000013</v>
      </c>
      <c r="Y4" s="7">
        <f>'24MS_Data'!Y4-MTOM_Data!Y4</f>
        <v>6055.0908928805711</v>
      </c>
      <c r="Z4" s="7">
        <f>'24MS_Data'!Z4-MTOM_Data!Z4</f>
        <v>37.329999999898817</v>
      </c>
      <c r="AA4" s="7">
        <f>'24MS_Data'!AA4-MTOM_Data!AA4</f>
        <v>8.0000000000000266</v>
      </c>
      <c r="AB4" s="7">
        <f>'24MS_Data'!AB4-MTOM_Data!AB4</f>
        <v>43.679999999999986</v>
      </c>
      <c r="AC4" s="7">
        <f>'24MS_Data'!AC4-MTOM_Data!AC4</f>
        <v>0</v>
      </c>
      <c r="AD4" s="6">
        <f>'24MS_Data'!AD4-MTOM_Data!AD4</f>
        <v>3608.1780904527518</v>
      </c>
      <c r="AE4" s="7">
        <f>'24MS_Data'!AE4-MTOM_Data!AE4</f>
        <v>12547.795029939969</v>
      </c>
      <c r="AF4" s="7">
        <f>'24MS_Data'!AF4-MTOM_Data!AF4</f>
        <v>538.91500000049882</v>
      </c>
      <c r="AG4" s="7">
        <f>'24MS_Data'!AG4-MTOM_Data!AG4</f>
        <v>461.00000000000017</v>
      </c>
      <c r="AH4" s="7">
        <f>'24MS_Data'!AH4-MTOM_Data!AH4</f>
        <v>53.538159631520166</v>
      </c>
      <c r="AI4" s="7">
        <f>'24MS_Data'!AI4-MTOM_Data!AI4</f>
        <v>749.99999999999989</v>
      </c>
      <c r="AJ4" s="8">
        <f>'24MS_Data'!AJ4-MTOM_Data!AJ4</f>
        <v>0</v>
      </c>
      <c r="AK4" s="7">
        <f>'24MS_Data'!AK4-MTOM_Data!AK4</f>
        <v>1085.2514934580042</v>
      </c>
      <c r="AL4" s="7">
        <f>'24MS_Data'!AL4-MTOM_Data!AL4</f>
        <v>890328.645587123</v>
      </c>
      <c r="AM4" s="7">
        <f>'24MS_Data'!AM4-MTOM_Data!AM4</f>
        <v>354.36349982899998</v>
      </c>
      <c r="AN4" s="6">
        <f>'24MS_Data'!AN4-MTOM_Data!AN4</f>
        <v>642.50124642716469</v>
      </c>
      <c r="AO4" s="7">
        <f>'24MS_Data'!AO4-MTOM_Data!AO4</f>
        <v>875987.07706154534</v>
      </c>
      <c r="AP4" s="8">
        <f>'24MS_Data'!AP4-MTOM_Data!AP4</f>
        <v>110.043719065</v>
      </c>
      <c r="AQ4" s="7">
        <f>'24MS_Data'!AQ4-MTOM_Data!AQ4</f>
        <v>447.99999999999949</v>
      </c>
      <c r="AR4" s="7">
        <f>'24MS_Data'!AR4-MTOM_Data!AR4</f>
        <v>710981.99999972072</v>
      </c>
      <c r="AS4" s="7">
        <f>'24MS_Data'!AS4-MTOM_Data!AS4</f>
        <v>46875.458960900003</v>
      </c>
      <c r="AT4" s="9">
        <f>'24MS_Data'!AT4-MTOM_Data!AT4</f>
        <v>29427.699326569946</v>
      </c>
      <c r="AU4" s="7">
        <f>'24MS_Data'!AU4-MTOM_Data!AU4</f>
        <v>98761.999999945183</v>
      </c>
      <c r="AV4" s="9">
        <f>'24MS_Data'!AV4-MTOM_Data!AV4</f>
        <v>51999.999999929911</v>
      </c>
    </row>
    <row r="5" x14ac:dyDescent="0.25">
      <c r="A5" s="49">
        <f>EOMONTH(A4,1)</f>
        <v>44074</v>
      </c>
      <c r="B5" s="10">
        <f>'24MS_Data'!B5-MTOM_Data!B5</f>
        <v>6502.5427463254528</v>
      </c>
      <c r="C5" s="11">
        <f>'24MS_Data'!C5-MTOM_Data!C5</f>
        <v>59.999999999999993</v>
      </c>
      <c r="D5" s="11">
        <f>'24MS_Data'!D5-MTOM_Data!D5</f>
        <v>67.239999999999924</v>
      </c>
      <c r="E5" s="11">
        <f>'24MS_Data'!E5-MTOM_Data!E5</f>
        <v>0</v>
      </c>
      <c r="F5" s="10">
        <f>'24MS_Data'!F5-MTOM_Data!F5</f>
        <v>6027.5842495078678</v>
      </c>
      <c r="G5" s="11">
        <f>'24MS_Data'!G5-MTOM_Data!G5</f>
        <v>72.23999999990663</v>
      </c>
      <c r="H5" s="11">
        <f>'24MS_Data'!H5-MTOM_Data!H5</f>
        <v>65.000000000000028</v>
      </c>
      <c r="I5" s="11">
        <f>'24MS_Data'!I5-MTOM_Data!I5</f>
        <v>103.27999999999986</v>
      </c>
      <c r="J5" s="12">
        <f>'24MS_Data'!J5-MTOM_Data!J5</f>
        <v>0</v>
      </c>
      <c r="K5" s="11">
        <f>'24MS_Data'!K5-MTOM_Data!K5</f>
        <v>9309.4059699146892</v>
      </c>
      <c r="L5" s="11">
        <f>'24MS_Data'!L5-MTOM_Data!L5</f>
        <v>7.0000000000000311</v>
      </c>
      <c r="M5" s="11">
        <f>'24MS_Data'!M5-MTOM_Data!M5</f>
        <v>19.140000000000033</v>
      </c>
      <c r="N5" s="10">
        <f>'24MS_Data'!N5-MTOM_Data!N5</f>
        <v>7481.6096743438238</v>
      </c>
      <c r="O5" s="11">
        <f>'24MS_Data'!O5-MTOM_Data!O5</f>
        <v>49.139999999940279</v>
      </c>
      <c r="P5" s="11">
        <f>'24MS_Data'!P5-MTOM_Data!P5</f>
        <v>37.000000000000021</v>
      </c>
      <c r="Q5" s="11">
        <f>'24MS_Data'!Q5-MTOM_Data!Q5</f>
        <v>81.160000000000309</v>
      </c>
      <c r="R5" s="12">
        <f>'24MS_Data'!R5-MTOM_Data!R5</f>
        <v>17.695569379651783</v>
      </c>
      <c r="S5" s="11">
        <f>'24MS_Data'!S5-MTOM_Data!S5</f>
        <v>6749.6333542978937</v>
      </c>
      <c r="T5" s="11">
        <f>'24MS_Data'!T5-MTOM_Data!T5</f>
        <v>1450.0483870969022</v>
      </c>
      <c r="U5" s="11">
        <f>'24MS_Data'!U5-MTOM_Data!U5</f>
        <v>0</v>
      </c>
      <c r="V5" s="10">
        <f>'24MS_Data'!V5-MTOM_Data!V5</f>
        <v>7636.8257228674465</v>
      </c>
      <c r="W5" s="11">
        <f>'24MS_Data'!W5-MTOM_Data!W5</f>
        <v>12.000000000000009</v>
      </c>
      <c r="X5" s="12">
        <f>'24MS_Data'!X5-MTOM_Data!X5</f>
        <v>37.69</v>
      </c>
      <c r="Y5" s="11">
        <f>'24MS_Data'!Y5-MTOM_Data!Y5</f>
        <v>6051.3195725393634</v>
      </c>
      <c r="Z5" s="11">
        <f>'24MS_Data'!Z5-MTOM_Data!Z5</f>
        <v>41.286000000003824</v>
      </c>
      <c r="AA5" s="11">
        <f>'24MS_Data'!AA5-MTOM_Data!AA5</f>
        <v>15.999999999999993</v>
      </c>
      <c r="AB5" s="11">
        <f>'24MS_Data'!AB5-MTOM_Data!AB5</f>
        <v>35.600000000000037</v>
      </c>
      <c r="AC5" s="11">
        <f>'24MS_Data'!AC5-MTOM_Data!AC5</f>
        <v>0</v>
      </c>
      <c r="AD5" s="10">
        <f>'24MS_Data'!AD5-MTOM_Data!AD5</f>
        <v>3604.0737932742745</v>
      </c>
      <c r="AE5" s="11">
        <f>'24MS_Data'!AE5-MTOM_Data!AE5</f>
        <v>12143.039141363079</v>
      </c>
      <c r="AF5" s="11">
        <f>'24MS_Data'!AF5-MTOM_Data!AF5</f>
        <v>450.18499999971885</v>
      </c>
      <c r="AG5" s="11">
        <f>'24MS_Data'!AG5-MTOM_Data!AG5</f>
        <v>299.99999999999994</v>
      </c>
      <c r="AH5" s="11">
        <f>'24MS_Data'!AH5-MTOM_Data!AH5</f>
        <v>52.321360586400729</v>
      </c>
      <c r="AI5" s="11">
        <f>'24MS_Data'!AI5-MTOM_Data!AI5</f>
        <v>835.00000000000091</v>
      </c>
      <c r="AJ5" s="12">
        <f>'24MS_Data'!AJ5-MTOM_Data!AJ5</f>
        <v>0</v>
      </c>
      <c r="AK5" s="11">
        <f>'24MS_Data'!AK5-MTOM_Data!AK5</f>
        <v>1085.2599523720462</v>
      </c>
      <c r="AL5" s="11">
        <f>'24MS_Data'!AL5-MTOM_Data!AL5</f>
        <v>822918.01934831275</v>
      </c>
      <c r="AM5" s="11">
        <f>'24MS_Data'!AM5-MTOM_Data!AM5</f>
        <v>324.54990503800002</v>
      </c>
      <c r="AN5" s="10">
        <f>'24MS_Data'!AN5-MTOM_Data!AN5</f>
        <v>642.50124642716469</v>
      </c>
      <c r="AO5" s="11">
        <f>'24MS_Data'!AO5-MTOM_Data!AO5</f>
        <v>787958.75374446786</v>
      </c>
      <c r="AP5" s="12">
        <f>'24MS_Data'!AP5-MTOM_Data!AP5</f>
        <v>99.062489514800006</v>
      </c>
      <c r="AQ5" s="11">
        <f>'24MS_Data'!AQ5-MTOM_Data!AQ5</f>
        <v>447.99999999999949</v>
      </c>
      <c r="AR5" s="11">
        <f>'24MS_Data'!AR5-MTOM_Data!AR5</f>
        <v>626359.00000090373</v>
      </c>
      <c r="AS5" s="11">
        <f>'24MS_Data'!AS5-MTOM_Data!AS5</f>
        <v>41171.058276199998</v>
      </c>
      <c r="AT5" s="13">
        <f>'24MS_Data'!AT5-MTOM_Data!AT5</f>
        <v>29976.69932660614</v>
      </c>
      <c r="AU5" s="11">
        <f>'24MS_Data'!AU5-MTOM_Data!AU5</f>
        <v>98761.999999945183</v>
      </c>
      <c r="AV5" s="13">
        <f>'24MS_Data'!AV5-MTOM_Data!AV5</f>
        <v>51999.999999929911</v>
      </c>
    </row>
    <row r="6" x14ac:dyDescent="0.25">
      <c r="A6" s="49">
        <f t="shared" ref="A6:A35" si="0">EOMONTH(A5,1)</f>
        <v>44104</v>
      </c>
      <c r="B6" s="10">
        <f>'24MS_Data'!B6-MTOM_Data!B6</f>
        <v>6499.3570697506493</v>
      </c>
      <c r="C6" s="11">
        <f>'24MS_Data'!C6-MTOM_Data!C6</f>
        <v>40.000000000000007</v>
      </c>
      <c r="D6" s="11">
        <f>'24MS_Data'!D6-MTOM_Data!D6</f>
        <v>62.479999999999869</v>
      </c>
      <c r="E6" s="11">
        <f>'24MS_Data'!E6-MTOM_Data!E6</f>
        <v>0</v>
      </c>
      <c r="F6" s="10">
        <f>'24MS_Data'!F6-MTOM_Data!F6</f>
        <v>6026.4114436023556</v>
      </c>
      <c r="G6" s="11">
        <f>'24MS_Data'!G6-MTOM_Data!G6</f>
        <v>70.479999999981445</v>
      </c>
      <c r="H6" s="11">
        <f>'24MS_Data'!H6-MTOM_Data!H6</f>
        <v>48.000000000000021</v>
      </c>
      <c r="I6" s="11">
        <f>'24MS_Data'!I6-MTOM_Data!I6</f>
        <v>105.31999999999982</v>
      </c>
      <c r="J6" s="12">
        <f>'24MS_Data'!J6-MTOM_Data!J6</f>
        <v>0</v>
      </c>
      <c r="K6" s="11">
        <f>'24MS_Data'!K6-MTOM_Data!K6</f>
        <v>9300.7691375327995</v>
      </c>
      <c r="L6" s="11">
        <f>'24MS_Data'!L6-MTOM_Data!L6</f>
        <v>5.0000000000000018</v>
      </c>
      <c r="M6" s="11">
        <f>'24MS_Data'!M6-MTOM_Data!M6</f>
        <v>17.749999999999975</v>
      </c>
      <c r="N6" s="10">
        <f>'24MS_Data'!N6-MTOM_Data!N6</f>
        <v>7477.1396823490741</v>
      </c>
      <c r="O6" s="11">
        <f>'24MS_Data'!O6-MTOM_Data!O6</f>
        <v>42.749999999915914</v>
      </c>
      <c r="P6" s="11">
        <f>'24MS_Data'!P6-MTOM_Data!P6</f>
        <v>29.999999999999989</v>
      </c>
      <c r="Q6" s="11">
        <f>'24MS_Data'!Q6-MTOM_Data!Q6</f>
        <v>74.330000000000254</v>
      </c>
      <c r="R6" s="12">
        <f>'24MS_Data'!R6-MTOM_Data!R6</f>
        <v>0</v>
      </c>
      <c r="S6" s="11">
        <f>'24MS_Data'!S6-MTOM_Data!S6</f>
        <v>6749.6333542978937</v>
      </c>
      <c r="T6" s="11">
        <f>'24MS_Data'!T6-MTOM_Data!T6</f>
        <v>1349.9902777769023</v>
      </c>
      <c r="U6" s="11">
        <f>'24MS_Data'!U6-MTOM_Data!U6</f>
        <v>0</v>
      </c>
      <c r="V6" s="10">
        <f>'24MS_Data'!V6-MTOM_Data!V6</f>
        <v>7626.7360136810948</v>
      </c>
      <c r="W6" s="11">
        <f>'24MS_Data'!W6-MTOM_Data!W6</f>
        <v>10.999999999999984</v>
      </c>
      <c r="X6" s="12">
        <f>'24MS_Data'!X6-MTOM_Data!X6</f>
        <v>29.249999999999968</v>
      </c>
      <c r="Y6" s="11">
        <f>'24MS_Data'!Y6-MTOM_Data!Y6</f>
        <v>6049.9723160104922</v>
      </c>
      <c r="Z6" s="11">
        <f>'24MS_Data'!Z6-MTOM_Data!Z6</f>
        <v>41.187000000061488</v>
      </c>
      <c r="AA6" s="11">
        <f>'24MS_Data'!AA6-MTOM_Data!AA6</f>
        <v>22.999999999999993</v>
      </c>
      <c r="AB6" s="11">
        <f>'24MS_Data'!AB6-MTOM_Data!AB6</f>
        <v>28.660000000000014</v>
      </c>
      <c r="AC6" s="11">
        <f>'24MS_Data'!AC6-MTOM_Data!AC6</f>
        <v>0</v>
      </c>
      <c r="AD6" s="10">
        <f>'24MS_Data'!AD6-MTOM_Data!AD6</f>
        <v>3602.0298505905475</v>
      </c>
      <c r="AE6" s="11">
        <f>'24MS_Data'!AE6-MTOM_Data!AE6</f>
        <v>11944.780791579653</v>
      </c>
      <c r="AF6" s="11">
        <f>'24MS_Data'!AF6-MTOM_Data!AF6</f>
        <v>433.23899999916779</v>
      </c>
      <c r="AG6" s="11">
        <f>'24MS_Data'!AG6-MTOM_Data!AG6</f>
        <v>299.99999999999994</v>
      </c>
      <c r="AH6" s="11">
        <f>'24MS_Data'!AH6-MTOM_Data!AH6</f>
        <v>47.378012619540137</v>
      </c>
      <c r="AI6" s="11">
        <f>'24MS_Data'!AI6-MTOM_Data!AI6</f>
        <v>599.97999999999797</v>
      </c>
      <c r="AJ6" s="12">
        <f>'24MS_Data'!AJ6-MTOM_Data!AJ6</f>
        <v>0</v>
      </c>
      <c r="AK6" s="11">
        <f>'24MS_Data'!AK6-MTOM_Data!AK6</f>
        <v>1083.6798558923874</v>
      </c>
      <c r="AL6" s="11">
        <f>'24MS_Data'!AL6-MTOM_Data!AL6</f>
        <v>732207.8903372623</v>
      </c>
      <c r="AM6" s="11">
        <f>'24MS_Data'!AM6-MTOM_Data!AM6</f>
        <v>287.39570315900005</v>
      </c>
      <c r="AN6" s="10">
        <f>'24MS_Data'!AN6-MTOM_Data!AN6</f>
        <v>640.00753110564244</v>
      </c>
      <c r="AO6" s="11">
        <f>'24MS_Data'!AO6-MTOM_Data!AO6</f>
        <v>766884.68056972825</v>
      </c>
      <c r="AP6" s="12">
        <f>'24MS_Data'!AP6-MTOM_Data!AP6</f>
        <v>95.531408560800003</v>
      </c>
      <c r="AQ6" s="11">
        <f>'24MS_Data'!AQ6-MTOM_Data!AQ6</f>
        <v>447.49999999999949</v>
      </c>
      <c r="AR6" s="11">
        <f>'24MS_Data'!AR6-MTOM_Data!AR6</f>
        <v>532454.00000078499</v>
      </c>
      <c r="AS6" s="11">
        <f>'24MS_Data'!AS6-MTOM_Data!AS6</f>
        <v>34745.903195400002</v>
      </c>
      <c r="AT6" s="13">
        <f>'24MS_Data'!AT6-MTOM_Data!AT6</f>
        <v>25363.699326649461</v>
      </c>
      <c r="AU6" s="11">
        <f>'24MS_Data'!AU6-MTOM_Data!AU6</f>
        <v>95803.000000076237</v>
      </c>
      <c r="AV6" s="13">
        <f>'24MS_Data'!AV6-MTOM_Data!AV6</f>
        <v>139999.99999999988</v>
      </c>
    </row>
    <row r="7" x14ac:dyDescent="0.25">
      <c r="A7" s="49">
        <f t="shared" si="0"/>
        <v>44135</v>
      </c>
      <c r="B7" s="10">
        <f>'24MS_Data'!B7-MTOM_Data!B7</f>
        <v>6496.5282485564239</v>
      </c>
      <c r="C7" s="11">
        <f>'24MS_Data'!C7-MTOM_Data!C7</f>
        <v>44.999999999999993</v>
      </c>
      <c r="D7" s="11">
        <f>'24MS_Data'!D7-MTOM_Data!D7</f>
        <v>64.560000000000301</v>
      </c>
      <c r="E7" s="11">
        <f>'24MS_Data'!E7-MTOM_Data!E7</f>
        <v>40.466557375792888</v>
      </c>
      <c r="F7" s="10">
        <f>'24MS_Data'!F7-MTOM_Data!F7</f>
        <v>6026.1742409776834</v>
      </c>
      <c r="G7" s="11">
        <f>'24MS_Data'!G7-MTOM_Data!G7</f>
        <v>74.559999999992357</v>
      </c>
      <c r="H7" s="11">
        <f>'24MS_Data'!H7-MTOM_Data!H7</f>
        <v>55.000000000000014</v>
      </c>
      <c r="I7" s="11">
        <f>'24MS_Data'!I7-MTOM_Data!I7</f>
        <v>76.599999999999739</v>
      </c>
      <c r="J7" s="12">
        <f>'24MS_Data'!J7-MTOM_Data!J7</f>
        <v>0</v>
      </c>
      <c r="K7" s="11">
        <f>'24MS_Data'!K7-MTOM_Data!K7</f>
        <v>9299.0816453740063</v>
      </c>
      <c r="L7" s="11">
        <f>'24MS_Data'!L7-MTOM_Data!L7</f>
        <v>5.0000000000000027</v>
      </c>
      <c r="M7" s="11">
        <f>'24MS_Data'!M7-MTOM_Data!M7</f>
        <v>7.2900000000000071</v>
      </c>
      <c r="N7" s="10">
        <f>'24MS_Data'!N7-MTOM_Data!N7</f>
        <v>7471.6987770013038</v>
      </c>
      <c r="O7" s="11">
        <f>'24MS_Data'!O7-MTOM_Data!O7</f>
        <v>31.290000000064978</v>
      </c>
      <c r="P7" s="11">
        <f>'24MS_Data'!P7-MTOM_Data!P7</f>
        <v>28.999999999999996</v>
      </c>
      <c r="Q7" s="11">
        <f>'24MS_Data'!Q7-MTOM_Data!Q7</f>
        <v>68.860000000000014</v>
      </c>
      <c r="R7" s="12">
        <f>'24MS_Data'!R7-MTOM_Data!R7</f>
        <v>0</v>
      </c>
      <c r="S7" s="11">
        <f>'24MS_Data'!S7-MTOM_Data!S7</f>
        <v>6749.6333542978937</v>
      </c>
      <c r="T7" s="11">
        <f>'24MS_Data'!T7-MTOM_Data!T7</f>
        <v>1250.0080645173277</v>
      </c>
      <c r="U7" s="11">
        <f>'24MS_Data'!U7-MTOM_Data!U7</f>
        <v>0</v>
      </c>
      <c r="V7" s="10">
        <f>'24MS_Data'!V7-MTOM_Data!V7</f>
        <v>7622.4790995078665</v>
      </c>
      <c r="W7" s="11">
        <f>'24MS_Data'!W7-MTOM_Data!W7</f>
        <v>10.000000000000018</v>
      </c>
      <c r="X7" s="12">
        <f>'24MS_Data'!X7-MTOM_Data!X7</f>
        <v>16.450000000000006</v>
      </c>
      <c r="Y7" s="11">
        <f>'24MS_Data'!Y7-MTOM_Data!Y7</f>
        <v>6050.2701908464505</v>
      </c>
      <c r="Z7" s="11">
        <f>'24MS_Data'!Z7-MTOM_Data!Z7</f>
        <v>36.195000000078707</v>
      </c>
      <c r="AA7" s="11">
        <f>'24MS_Data'!AA7-MTOM_Data!AA7</f>
        <v>29.999999999999996</v>
      </c>
      <c r="AB7" s="11">
        <f>'24MS_Data'!AB7-MTOM_Data!AB7</f>
        <v>21.919999999999973</v>
      </c>
      <c r="AC7" s="11">
        <f>'24MS_Data'!AC7-MTOM_Data!AC7</f>
        <v>0</v>
      </c>
      <c r="AD7" s="10">
        <f>'24MS_Data'!AD7-MTOM_Data!AD7</f>
        <v>3600.1030789041956</v>
      </c>
      <c r="AE7" s="11">
        <f>'24MS_Data'!AE7-MTOM_Data!AE7</f>
        <v>11759.915889674507</v>
      </c>
      <c r="AF7" s="11">
        <f>'24MS_Data'!AF7-MTOM_Data!AF7</f>
        <v>472.78700000105016</v>
      </c>
      <c r="AG7" s="11">
        <f>'24MS_Data'!AG7-MTOM_Data!AG7</f>
        <v>410.00000000000011</v>
      </c>
      <c r="AH7" s="11">
        <f>'24MS_Data'!AH7-MTOM_Data!AH7</f>
        <v>32.441089507374585</v>
      </c>
      <c r="AI7" s="11">
        <f>'24MS_Data'!AI7-MTOM_Data!AI7</f>
        <v>639.99999999999716</v>
      </c>
      <c r="AJ7" s="12">
        <f>'24MS_Data'!AJ7-MTOM_Data!AJ7</f>
        <v>0</v>
      </c>
      <c r="AK7" s="11">
        <f>'24MS_Data'!AK7-MTOM_Data!AK7</f>
        <v>1084.5267326541982</v>
      </c>
      <c r="AL7" s="11">
        <f>'24MS_Data'!AL7-MTOM_Data!AL7</f>
        <v>571758.33984182903</v>
      </c>
      <c r="AM7" s="11">
        <f>'24MS_Data'!AM7-MTOM_Data!AM7</f>
        <v>222.14032725300001</v>
      </c>
      <c r="AN7" s="10">
        <f>'24MS_Data'!AN7-MTOM_Data!AN7</f>
        <v>632.99732935367388</v>
      </c>
      <c r="AO7" s="11">
        <f>'24MS_Data'!AO7-MTOM_Data!AO7</f>
        <v>729827.32439542341</v>
      </c>
      <c r="AP7" s="12">
        <f>'24MS_Data'!AP7-MTOM_Data!AP7</f>
        <v>88.045328181300007</v>
      </c>
      <c r="AQ7" s="11">
        <f>'24MS_Data'!AQ7-MTOM_Data!AQ7</f>
        <v>447.49999999999949</v>
      </c>
      <c r="AR7" s="11">
        <f>'24MS_Data'!AR7-MTOM_Data!AR7</f>
        <v>458607.00001915166</v>
      </c>
      <c r="AS7" s="11">
        <f>'24MS_Data'!AS7-MTOM_Data!AS7</f>
        <v>30217.101743499999</v>
      </c>
      <c r="AT7" s="13">
        <f>'24MS_Data'!AT7-MTOM_Data!AT7</f>
        <v>24124.699326640723</v>
      </c>
      <c r="AU7" s="11">
        <f>'24MS_Data'!AU7-MTOM_Data!AU7</f>
        <v>98995.999999910768</v>
      </c>
      <c r="AV7" s="13">
        <f>'24MS_Data'!AV7-MTOM_Data!AV7</f>
        <v>177999.99999994383</v>
      </c>
    </row>
    <row r="8" x14ac:dyDescent="0.25">
      <c r="A8" s="49">
        <f t="shared" si="0"/>
        <v>44165</v>
      </c>
      <c r="B8" s="10">
        <f>'24MS_Data'!B8-MTOM_Data!B8</f>
        <v>6492.6152354658725</v>
      </c>
      <c r="C8" s="11">
        <f>'24MS_Data'!C8-MTOM_Data!C8</f>
        <v>40.000000000000007</v>
      </c>
      <c r="D8" s="11">
        <f>'24MS_Data'!D8-MTOM_Data!D8</f>
        <v>66.94</v>
      </c>
      <c r="E8" s="11">
        <f>'24MS_Data'!E8-MTOM_Data!E8</f>
        <v>0</v>
      </c>
      <c r="F8" s="10">
        <f>'24MS_Data'!F8-MTOM_Data!F8</f>
        <v>6026.2875588910692</v>
      </c>
      <c r="G8" s="11">
        <f>'24MS_Data'!G8-MTOM_Data!G8</f>
        <v>76.939999999986483</v>
      </c>
      <c r="H8" s="11">
        <f>'24MS_Data'!H8-MTOM_Data!H8</f>
        <v>50.000000000000021</v>
      </c>
      <c r="I8" s="11">
        <f>'24MS_Data'!I8-MTOM_Data!I8</f>
        <v>69.139999999999873</v>
      </c>
      <c r="J8" s="12">
        <f>'24MS_Data'!J8-MTOM_Data!J8</f>
        <v>0</v>
      </c>
      <c r="K8" s="11">
        <f>'24MS_Data'!K8-MTOM_Data!K8</f>
        <v>9298.2898615157392</v>
      </c>
      <c r="L8" s="11">
        <f>'24MS_Data'!L8-MTOM_Data!L8</f>
        <v>4.0000000000000009</v>
      </c>
      <c r="M8" s="11">
        <f>'24MS_Data'!M8-MTOM_Data!M8</f>
        <v>5.0499999999999972</v>
      </c>
      <c r="N8" s="10">
        <f>'24MS_Data'!N8-MTOM_Data!N8</f>
        <v>7472.7502609251897</v>
      </c>
      <c r="O8" s="11">
        <f>'24MS_Data'!O8-MTOM_Data!O8</f>
        <v>25.049999999941143</v>
      </c>
      <c r="P8" s="11">
        <f>'24MS_Data'!P8-MTOM_Data!P8</f>
        <v>24.000000000000011</v>
      </c>
      <c r="Q8" s="11">
        <f>'24MS_Data'!Q8-MTOM_Data!Q8</f>
        <v>17.61999999999999</v>
      </c>
      <c r="R8" s="12">
        <f>'24MS_Data'!R8-MTOM_Data!R8</f>
        <v>0</v>
      </c>
      <c r="S8" s="11">
        <f>'24MS_Data'!S8-MTOM_Data!S8</f>
        <v>6749.6333542978937</v>
      </c>
      <c r="T8" s="11">
        <f>'24MS_Data'!T8-MTOM_Data!T8</f>
        <v>396.94722222267438</v>
      </c>
      <c r="U8" s="11">
        <f>'24MS_Data'!U8-MTOM_Data!U8</f>
        <v>0</v>
      </c>
      <c r="V8" s="10">
        <f>'24MS_Data'!V8-MTOM_Data!V8</f>
        <v>7625.4089110236137</v>
      </c>
      <c r="W8" s="11">
        <f>'24MS_Data'!W8-MTOM_Data!W8</f>
        <v>6.9999999999999991</v>
      </c>
      <c r="X8" s="12">
        <f>'24MS_Data'!X8-MTOM_Data!X8</f>
        <v>2.4799999999999986</v>
      </c>
      <c r="Y8" s="11">
        <f>'24MS_Data'!Y8-MTOM_Data!Y8</f>
        <v>6050.3338221128552</v>
      </c>
      <c r="Z8" s="11">
        <f>'24MS_Data'!Z8-MTOM_Data!Z8</f>
        <v>22.469999999909202</v>
      </c>
      <c r="AA8" s="11">
        <f>'24MS_Data'!AA8-MTOM_Data!AA8</f>
        <v>26.999999999999972</v>
      </c>
      <c r="AB8" s="11">
        <f>'24MS_Data'!AB8-MTOM_Data!AB8</f>
        <v>20.830000000000027</v>
      </c>
      <c r="AC8" s="11">
        <f>'24MS_Data'!AC8-MTOM_Data!AC8</f>
        <v>0</v>
      </c>
      <c r="AD8" s="10">
        <f>'24MS_Data'!AD8-MTOM_Data!AD8</f>
        <v>3597.7672775262427</v>
      </c>
      <c r="AE8" s="11">
        <f>'24MS_Data'!AE8-MTOM_Data!AE8</f>
        <v>11538.32366595482</v>
      </c>
      <c r="AF8" s="11">
        <f>'24MS_Data'!AF8-MTOM_Data!AF8</f>
        <v>431.65100000049858</v>
      </c>
      <c r="AG8" s="11">
        <f>'24MS_Data'!AG8-MTOM_Data!AG8</f>
        <v>425.00000000000011</v>
      </c>
      <c r="AH8" s="11">
        <f>'24MS_Data'!AH8-MTOM_Data!AH8</f>
        <v>30.970596184743787</v>
      </c>
      <c r="AI8" s="11">
        <f>'24MS_Data'!AI8-MTOM_Data!AI8</f>
        <v>640.00000000000193</v>
      </c>
      <c r="AJ8" s="12">
        <f>'24MS_Data'!AJ8-MTOM_Data!AJ8</f>
        <v>0</v>
      </c>
      <c r="AK8" s="11">
        <f>'24MS_Data'!AK8-MTOM_Data!AK8</f>
        <v>1083.7590032841194</v>
      </c>
      <c r="AL8" s="11">
        <f>'24MS_Data'!AL8-MTOM_Data!AL8</f>
        <v>718069.9258746861</v>
      </c>
      <c r="AM8" s="11">
        <f>'24MS_Data'!AM8-MTOM_Data!AM8</f>
        <v>283.85957250200005</v>
      </c>
      <c r="AN8" s="10">
        <f>'24MS_Data'!AN8-MTOM_Data!AN8</f>
        <v>634.99500232283401</v>
      </c>
      <c r="AO8" s="11">
        <f>'24MS_Data'!AO8-MTOM_Data!AO8</f>
        <v>637909.17219776078</v>
      </c>
      <c r="AP8" s="12">
        <f>'24MS_Data'!AP8-MTOM_Data!AP8</f>
        <v>75.774485468400002</v>
      </c>
      <c r="AQ8" s="11">
        <f>'24MS_Data'!AQ8-MTOM_Data!AQ8</f>
        <v>447.49999999999949</v>
      </c>
      <c r="AR8" s="11">
        <f>'24MS_Data'!AR8-MTOM_Data!AR8</f>
        <v>360563.0000016613</v>
      </c>
      <c r="AS8" s="11">
        <f>'24MS_Data'!AS8-MTOM_Data!AS8</f>
        <v>23453.004925400001</v>
      </c>
      <c r="AT8" s="13">
        <f>'24MS_Data'!AT8-MTOM_Data!AT8</f>
        <v>16155.699326671491</v>
      </c>
      <c r="AU8" s="11">
        <f>'24MS_Data'!AU8-MTOM_Data!AU8</f>
        <v>95802.796544938145</v>
      </c>
      <c r="AV8" s="13">
        <f>'24MS_Data'!AV8-MTOM_Data!AV8</f>
        <v>183853.63836957244</v>
      </c>
    </row>
    <row r="9" x14ac:dyDescent="0.25">
      <c r="A9" s="49">
        <f t="shared" si="0"/>
        <v>44196</v>
      </c>
      <c r="B9" s="10">
        <f>'24MS_Data'!B9-MTOM_Data!B9</f>
        <v>6486.8861481955319</v>
      </c>
      <c r="C9" s="11">
        <f>'24MS_Data'!C9-MTOM_Data!C9</f>
        <v>31.999999999999986</v>
      </c>
      <c r="D9" s="11">
        <f>'24MS_Data'!D9-MTOM_Data!D9</f>
        <v>69.170000000000215</v>
      </c>
      <c r="E9" s="11">
        <f>'24MS_Data'!E9-MTOM_Data!E9</f>
        <v>0</v>
      </c>
      <c r="F9" s="10">
        <f>'24MS_Data'!F9-MTOM_Data!F9</f>
        <v>6025.72579393044</v>
      </c>
      <c r="G9" s="11">
        <f>'24MS_Data'!G9-MTOM_Data!G9</f>
        <v>72.170000000108089</v>
      </c>
      <c r="H9" s="11">
        <f>'24MS_Data'!H9-MTOM_Data!H9</f>
        <v>35.000000000000028</v>
      </c>
      <c r="I9" s="11">
        <f>'24MS_Data'!I9-MTOM_Data!I9</f>
        <v>92.230000000000246</v>
      </c>
      <c r="J9" s="12">
        <f>'24MS_Data'!J9-MTOM_Data!J9</f>
        <v>0</v>
      </c>
      <c r="K9" s="11">
        <f>'24MS_Data'!K9-MTOM_Data!K9</f>
        <v>9296.9830952099637</v>
      </c>
      <c r="L9" s="11">
        <f>'24MS_Data'!L9-MTOM_Data!L9</f>
        <v>3.5000000000000027</v>
      </c>
      <c r="M9" s="11">
        <f>'24MS_Data'!M9-MTOM_Data!M9</f>
        <v>5.200000000000002</v>
      </c>
      <c r="N9" s="10">
        <f>'24MS_Data'!N9-MTOM_Data!N9</f>
        <v>7472.4313042322747</v>
      </c>
      <c r="O9" s="11">
        <f>'24MS_Data'!O9-MTOM_Data!O9</f>
        <v>22.700000000093844</v>
      </c>
      <c r="P9" s="11">
        <f>'24MS_Data'!P9-MTOM_Data!P9</f>
        <v>21.000000000000032</v>
      </c>
      <c r="Q9" s="11">
        <f>'24MS_Data'!Q9-MTOM_Data!Q9</f>
        <v>24.740000000000013</v>
      </c>
      <c r="R9" s="12">
        <f>'24MS_Data'!R9-MTOM_Data!R9</f>
        <v>0</v>
      </c>
      <c r="S9" s="11">
        <f>'24MS_Data'!S9-MTOM_Data!S9</f>
        <v>6749.6333542978937</v>
      </c>
      <c r="T9" s="11">
        <f>'24MS_Data'!T9-MTOM_Data!T9</f>
        <v>499.93817204206306</v>
      </c>
      <c r="U9" s="11">
        <f>'24MS_Data'!U9-MTOM_Data!U9</f>
        <v>0</v>
      </c>
      <c r="V9" s="10">
        <f>'24MS_Data'!V9-MTOM_Data!V9</f>
        <v>7627.3181220800443</v>
      </c>
      <c r="W9" s="11">
        <f>'24MS_Data'!W9-MTOM_Data!W9</f>
        <v>5.0000000000000027</v>
      </c>
      <c r="X9" s="12">
        <f>'24MS_Data'!X9-MTOM_Data!X9</f>
        <v>1.8399999999999976</v>
      </c>
      <c r="Y9" s="11">
        <f>'24MS_Data'!Y9-MTOM_Data!Y9</f>
        <v>6049.9707845144294</v>
      </c>
      <c r="Z9" s="11">
        <f>'24MS_Data'!Z9-MTOM_Data!Z9</f>
        <v>17.840000000003347</v>
      </c>
      <c r="AA9" s="11">
        <f>'24MS_Data'!AA9-MTOM_Data!AA9</f>
        <v>21.000000000000032</v>
      </c>
      <c r="AB9" s="11">
        <f>'24MS_Data'!AB9-MTOM_Data!AB9</f>
        <v>21.519999999999982</v>
      </c>
      <c r="AC9" s="11">
        <f>'24MS_Data'!AC9-MTOM_Data!AC9</f>
        <v>0</v>
      </c>
      <c r="AD9" s="10">
        <f>'24MS_Data'!AD9-MTOM_Data!AD9</f>
        <v>3594.3709467191566</v>
      </c>
      <c r="AE9" s="11">
        <f>'24MS_Data'!AE9-MTOM_Data!AE9</f>
        <v>11220.842698193987</v>
      </c>
      <c r="AF9" s="11">
        <f>'24MS_Data'!AF9-MTOM_Data!AF9</f>
        <v>401.49000000009545</v>
      </c>
      <c r="AG9" s="11">
        <f>'24MS_Data'!AG9-MTOM_Data!AG9</f>
        <v>339.99999999999977</v>
      </c>
      <c r="AH9" s="11">
        <f>'24MS_Data'!AH9-MTOM_Data!AH9</f>
        <v>24.369437480948676</v>
      </c>
      <c r="AI9" s="11">
        <f>'24MS_Data'!AI9-MTOM_Data!AI9</f>
        <v>720.00000000000307</v>
      </c>
      <c r="AJ9" s="12">
        <f>'24MS_Data'!AJ9-MTOM_Data!AJ9</f>
        <v>0</v>
      </c>
      <c r="AK9" s="11">
        <f>'24MS_Data'!AK9-MTOM_Data!AK9</f>
        <v>1085.5920461548544</v>
      </c>
      <c r="AL9" s="11">
        <f>'24MS_Data'!AL9-MTOM_Data!AL9</f>
        <v>571074.58530320285</v>
      </c>
      <c r="AM9" s="11">
        <f>'24MS_Data'!AM9-MTOM_Data!AM9</f>
        <v>221.40087755000002</v>
      </c>
      <c r="AN9" s="10">
        <f>'24MS_Data'!AN9-MTOM_Data!AN9</f>
        <v>639.50562092519613</v>
      </c>
      <c r="AO9" s="11">
        <f>'24MS_Data'!AO9-MTOM_Data!AO9</f>
        <v>431360.39794624026</v>
      </c>
      <c r="AP9" s="12">
        <f>'24MS_Data'!AP9-MTOM_Data!AP9</f>
        <v>53.122781570999997</v>
      </c>
      <c r="AQ9" s="11">
        <f>'24MS_Data'!AQ9-MTOM_Data!AQ9</f>
        <v>446.49999999999949</v>
      </c>
      <c r="AR9" s="11">
        <f>'24MS_Data'!AR9-MTOM_Data!AR9</f>
        <v>229107.99999950008</v>
      </c>
      <c r="AS9" s="11">
        <f>'24MS_Data'!AS9-MTOM_Data!AS9</f>
        <v>14158.2934332</v>
      </c>
      <c r="AT9" s="13">
        <f>'24MS_Data'!AT9-MTOM_Data!AT9</f>
        <v>10748.699326660822</v>
      </c>
      <c r="AU9" s="11">
        <f>'24MS_Data'!AU9-MTOM_Data!AU9</f>
        <v>98973.796544951256</v>
      </c>
      <c r="AV9" s="13">
        <f>'24MS_Data'!AV9-MTOM_Data!AV9</f>
        <v>133338.63836947104</v>
      </c>
    </row>
    <row r="10" x14ac:dyDescent="0.25">
      <c r="A10" s="49">
        <f t="shared" si="0"/>
        <v>44227</v>
      </c>
      <c r="B10" s="10">
        <f>'24MS_Data'!B10-MTOM_Data!B10</f>
        <v>6480.2340408136415</v>
      </c>
      <c r="C10" s="11">
        <f>'24MS_Data'!C10-MTOM_Data!C10</f>
        <v>29.999999999999996</v>
      </c>
      <c r="D10" s="11">
        <f>'24MS_Data'!D10-MTOM_Data!D10</f>
        <v>69.170000000000215</v>
      </c>
      <c r="E10" s="11">
        <f>'24MS_Data'!E10-MTOM_Data!E10</f>
        <v>0</v>
      </c>
      <c r="F10" s="10">
        <f>'24MS_Data'!F10-MTOM_Data!F10</f>
        <v>6025.3432564960567</v>
      </c>
      <c r="G10" s="11">
        <f>'24MS_Data'!G10-MTOM_Data!G10</f>
        <v>79.169999999939975</v>
      </c>
      <c r="H10" s="11">
        <f>'24MS_Data'!H10-MTOM_Data!H10</f>
        <v>40.000000000000014</v>
      </c>
      <c r="I10" s="11">
        <f>'24MS_Data'!I10-MTOM_Data!I10</f>
        <v>92.230000000000246</v>
      </c>
      <c r="J10" s="12">
        <f>'24MS_Data'!J10-MTOM_Data!J10</f>
        <v>0</v>
      </c>
      <c r="K10" s="11">
        <f>'24MS_Data'!K10-MTOM_Data!K10</f>
        <v>9295.6409881233503</v>
      </c>
      <c r="L10" s="11">
        <f>'24MS_Data'!L10-MTOM_Data!L10</f>
        <v>3.5000000000000027</v>
      </c>
      <c r="M10" s="11">
        <f>'24MS_Data'!M10-MTOM_Data!M10</f>
        <v>5.200000000000002</v>
      </c>
      <c r="N10" s="10">
        <f>'24MS_Data'!N10-MTOM_Data!N10</f>
        <v>7471.6735930446112</v>
      </c>
      <c r="O10" s="11">
        <f>'24MS_Data'!O10-MTOM_Data!O10</f>
        <v>20.699999999992979</v>
      </c>
      <c r="P10" s="11">
        <f>'24MS_Data'!P10-MTOM_Data!P10</f>
        <v>18.999999999999979</v>
      </c>
      <c r="Q10" s="11">
        <f>'24MS_Data'!Q10-MTOM_Data!Q10</f>
        <v>25.740000000000002</v>
      </c>
      <c r="R10" s="12">
        <f>'24MS_Data'!R10-MTOM_Data!R10</f>
        <v>0</v>
      </c>
      <c r="S10" s="11">
        <f>'24MS_Data'!S10-MTOM_Data!S10</f>
        <v>6749.6333542978937</v>
      </c>
      <c r="T10" s="11">
        <f>'24MS_Data'!T10-MTOM_Data!T10</f>
        <v>499.93817204206306</v>
      </c>
      <c r="U10" s="11">
        <f>'24MS_Data'!U10-MTOM_Data!U10</f>
        <v>0</v>
      </c>
      <c r="V10" s="10">
        <f>'24MS_Data'!V10-MTOM_Data!V10</f>
        <v>7629.1366084317506</v>
      </c>
      <c r="W10" s="11">
        <f>'24MS_Data'!W10-MTOM_Data!W10</f>
        <v>5.0000000000000027</v>
      </c>
      <c r="X10" s="12">
        <f>'24MS_Data'!X10-MTOM_Data!X10</f>
        <v>1.8399999999999976</v>
      </c>
      <c r="Y10" s="11">
        <f>'24MS_Data'!Y10-MTOM_Data!Y10</f>
        <v>6049.4359604002557</v>
      </c>
      <c r="Z10" s="11">
        <f>'24MS_Data'!Z10-MTOM_Data!Z10</f>
        <v>15.839999999989338</v>
      </c>
      <c r="AA10" s="11">
        <f>'24MS_Data'!AA10-MTOM_Data!AA10</f>
        <v>18.999999999999979</v>
      </c>
      <c r="AB10" s="11">
        <f>'24MS_Data'!AB10-MTOM_Data!AB10</f>
        <v>21.519999999999982</v>
      </c>
      <c r="AC10" s="11">
        <f>'24MS_Data'!AC10-MTOM_Data!AC10</f>
        <v>0</v>
      </c>
      <c r="AD10" s="10">
        <f>'24MS_Data'!AD10-MTOM_Data!AD10</f>
        <v>3589.3496254265056</v>
      </c>
      <c r="AE10" s="11">
        <f>'24MS_Data'!AE10-MTOM_Data!AE10</f>
        <v>10761.738927905853</v>
      </c>
      <c r="AF10" s="11">
        <f>'24MS_Data'!AF10-MTOM_Data!AF10</f>
        <v>371.48999999988541</v>
      </c>
      <c r="AG10" s="11">
        <f>'24MS_Data'!AG10-MTOM_Data!AG10</f>
        <v>309.99999999999994</v>
      </c>
      <c r="AH10" s="11">
        <f>'24MS_Data'!AH10-MTOM_Data!AH10</f>
        <v>7.3220727763995539</v>
      </c>
      <c r="AI10" s="11">
        <f>'24MS_Data'!AI10-MTOM_Data!AI10</f>
        <v>860.0000000000025</v>
      </c>
      <c r="AJ10" s="12">
        <f>'24MS_Data'!AJ10-MTOM_Data!AJ10</f>
        <v>0</v>
      </c>
      <c r="AK10" s="11">
        <f>'24MS_Data'!AK10-MTOM_Data!AK10</f>
        <v>1089.770448458004</v>
      </c>
      <c r="AL10" s="11">
        <f>'24MS_Data'!AL10-MTOM_Data!AL10</f>
        <v>532840.33308973536</v>
      </c>
      <c r="AM10" s="11">
        <f>'24MS_Data'!AM10-MTOM_Data!AM10</f>
        <v>205.67017227899998</v>
      </c>
      <c r="AN10" s="10">
        <f>'24MS_Data'!AN10-MTOM_Data!AN10</f>
        <v>641.79754691929065</v>
      </c>
      <c r="AO10" s="11">
        <f>'24MS_Data'!AO10-MTOM_Data!AO10</f>
        <v>440283.45042637119</v>
      </c>
      <c r="AP10" s="12">
        <f>'24MS_Data'!AP10-MTOM_Data!AP10</f>
        <v>55.545407555400004</v>
      </c>
      <c r="AQ10" s="11">
        <f>'24MS_Data'!AQ10-MTOM_Data!AQ10</f>
        <v>446.49999999999949</v>
      </c>
      <c r="AR10" s="11">
        <f>'24MS_Data'!AR10-MTOM_Data!AR10</f>
        <v>255249.56996737025</v>
      </c>
      <c r="AS10" s="11">
        <f>'24MS_Data'!AS10-MTOM_Data!AS10</f>
        <v>15980.934681999999</v>
      </c>
      <c r="AT10" s="13">
        <f>'24MS_Data'!AT10-MTOM_Data!AT10</f>
        <v>10570.22310564763</v>
      </c>
      <c r="AU10" s="11">
        <f>'24MS_Data'!AU10-MTOM_Data!AU10</f>
        <v>103847.66666672396</v>
      </c>
      <c r="AV10" s="13">
        <f>'24MS_Data'!AV10-MTOM_Data!AV10</f>
        <v>90344.521249255107</v>
      </c>
    </row>
    <row r="11" x14ac:dyDescent="0.25">
      <c r="A11" s="49">
        <f t="shared" si="0"/>
        <v>44255</v>
      </c>
      <c r="B11" s="10">
        <f>'24MS_Data'!B11-MTOM_Data!B11</f>
        <v>6473.1764753280777</v>
      </c>
      <c r="C11" s="11">
        <f>'24MS_Data'!C11-MTOM_Data!C11</f>
        <v>27.999999999999989</v>
      </c>
      <c r="D11" s="11">
        <f>'24MS_Data'!D11-MTOM_Data!D11</f>
        <v>62.480000000000224</v>
      </c>
      <c r="E11" s="11">
        <f>'24MS_Data'!E11-MTOM_Data!E11</f>
        <v>0</v>
      </c>
      <c r="F11" s="10">
        <f>'24MS_Data'!F11-MTOM_Data!F11</f>
        <v>6025.1110705380515</v>
      </c>
      <c r="G11" s="11">
        <f>'24MS_Data'!G11-MTOM_Data!G11</f>
        <v>76.479999999967433</v>
      </c>
      <c r="H11" s="11">
        <f>'24MS_Data'!H11-MTOM_Data!H11</f>
        <v>42.000000000000014</v>
      </c>
      <c r="I11" s="11">
        <f>'24MS_Data'!I11-MTOM_Data!I11</f>
        <v>83.309999999999761</v>
      </c>
      <c r="J11" s="12">
        <f>'24MS_Data'!J11-MTOM_Data!J11</f>
        <v>0</v>
      </c>
      <c r="K11" s="11">
        <f>'24MS_Data'!K11-MTOM_Data!K11</f>
        <v>9294.2618665026148</v>
      </c>
      <c r="L11" s="11">
        <f>'24MS_Data'!L11-MTOM_Data!L11</f>
        <v>3</v>
      </c>
      <c r="M11" s="11">
        <f>'24MS_Data'!M11-MTOM_Data!M11</f>
        <v>4.7</v>
      </c>
      <c r="N11" s="10">
        <f>'24MS_Data'!N11-MTOM_Data!N11</f>
        <v>7470.9022104330634</v>
      </c>
      <c r="O11" s="11">
        <f>'24MS_Data'!O11-MTOM_Data!O11</f>
        <v>17.699999999994379</v>
      </c>
      <c r="P11" s="11">
        <f>'24MS_Data'!P11-MTOM_Data!P11</f>
        <v>15.999999999999977</v>
      </c>
      <c r="Q11" s="11">
        <f>'24MS_Data'!Q11-MTOM_Data!Q11</f>
        <v>22.769999999999989</v>
      </c>
      <c r="R11" s="12">
        <f>'24MS_Data'!R11-MTOM_Data!R11</f>
        <v>0</v>
      </c>
      <c r="S11" s="11">
        <f>'24MS_Data'!S11-MTOM_Data!S11</f>
        <v>6749.6333542978937</v>
      </c>
      <c r="T11" s="11">
        <f>'24MS_Data'!T11-MTOM_Data!T11</f>
        <v>500.02529761912848</v>
      </c>
      <c r="U11" s="11">
        <f>'24MS_Data'!U11-MTOM_Data!U11</f>
        <v>0</v>
      </c>
      <c r="V11" s="10">
        <f>'24MS_Data'!V11-MTOM_Data!V11</f>
        <v>7630.417333923876</v>
      </c>
      <c r="W11" s="11">
        <f>'24MS_Data'!W11-MTOM_Data!W11</f>
        <v>4</v>
      </c>
      <c r="X11" s="12">
        <f>'24MS_Data'!X11-MTOM_Data!X11</f>
        <v>1.6699999999999993</v>
      </c>
      <c r="Y11" s="11">
        <f>'24MS_Data'!Y11-MTOM_Data!Y11</f>
        <v>6049.4636356627234</v>
      </c>
      <c r="Z11" s="11">
        <f>'24MS_Data'!Z11-MTOM_Data!Z11</f>
        <v>20.642999999998413</v>
      </c>
      <c r="AA11" s="11">
        <f>'24MS_Data'!AA11-MTOM_Data!AA11</f>
        <v>22.999999999999989</v>
      </c>
      <c r="AB11" s="11">
        <f>'24MS_Data'!AB11-MTOM_Data!AB11</f>
        <v>19.440000000000019</v>
      </c>
      <c r="AC11" s="11">
        <f>'24MS_Data'!AC11-MTOM_Data!AC11</f>
        <v>0</v>
      </c>
      <c r="AD11" s="10">
        <f>'24MS_Data'!AD11-MTOM_Data!AD11</f>
        <v>3585.2715153543268</v>
      </c>
      <c r="AE11" s="11">
        <f>'24MS_Data'!AE11-MTOM_Data!AE11</f>
        <v>10397.892542544942</v>
      </c>
      <c r="AF11" s="11">
        <f>'24MS_Data'!AF11-MTOM_Data!AF11</f>
        <v>364.69099999961099</v>
      </c>
      <c r="AG11" s="11">
        <f>'24MS_Data'!AG11-MTOM_Data!AG11</f>
        <v>320.00000000000006</v>
      </c>
      <c r="AH11" s="11">
        <f>'24MS_Data'!AH11-MTOM_Data!AH11</f>
        <v>7.6450968635091048</v>
      </c>
      <c r="AI11" s="11">
        <f>'24MS_Data'!AI11-MTOM_Data!AI11</f>
        <v>750</v>
      </c>
      <c r="AJ11" s="12">
        <f>'24MS_Data'!AJ11-MTOM_Data!AJ11</f>
        <v>0</v>
      </c>
      <c r="AK11" s="11">
        <f>'24MS_Data'!AK11-MTOM_Data!AK11</f>
        <v>1092.7880563188965</v>
      </c>
      <c r="AL11" s="11">
        <f>'24MS_Data'!AL11-MTOM_Data!AL11</f>
        <v>533273.75105636986</v>
      </c>
      <c r="AM11" s="11">
        <f>'24MS_Data'!AM11-MTOM_Data!AM11</f>
        <v>211.67111208200001</v>
      </c>
      <c r="AN11" s="10">
        <f>'24MS_Data'!AN11-MTOM_Data!AN11</f>
        <v>641.79754691929065</v>
      </c>
      <c r="AO11" s="11">
        <f>'24MS_Data'!AO11-MTOM_Data!AO11</f>
        <v>513207.83701231645</v>
      </c>
      <c r="AP11" s="12">
        <f>'24MS_Data'!AP11-MTOM_Data!AP11</f>
        <v>64.851724015100004</v>
      </c>
      <c r="AQ11" s="11">
        <f>'24MS_Data'!AQ11-MTOM_Data!AQ11</f>
        <v>446.49999999999949</v>
      </c>
      <c r="AR11" s="11">
        <f>'24MS_Data'!AR11-MTOM_Data!AR11</f>
        <v>392829.47992025537</v>
      </c>
      <c r="AS11" s="11">
        <f>'24MS_Data'!AS11-MTOM_Data!AS11</f>
        <v>25507.301461800002</v>
      </c>
      <c r="AT11" s="13">
        <f>'24MS_Data'!AT11-MTOM_Data!AT11</f>
        <v>10650.47975486587</v>
      </c>
      <c r="AU11" s="11">
        <f>'24MS_Data'!AU11-MTOM_Data!AU11</f>
        <v>30736.666666738369</v>
      </c>
      <c r="AV11" s="13">
        <f>'24MS_Data'!AV11-MTOM_Data!AV11</f>
        <v>85138.355294972949</v>
      </c>
    </row>
    <row r="12" x14ac:dyDescent="0.25">
      <c r="A12" s="49">
        <f t="shared" si="0"/>
        <v>44286</v>
      </c>
      <c r="B12" s="10">
        <f>'24MS_Data'!B12-MTOM_Data!B12</f>
        <v>6468.0972166994688</v>
      </c>
      <c r="C12" s="11">
        <f>'24MS_Data'!C12-MTOM_Data!C12</f>
        <v>44.999999999999993</v>
      </c>
      <c r="D12" s="11">
        <f>'24MS_Data'!D12-MTOM_Data!D12</f>
        <v>66.449999999999918</v>
      </c>
      <c r="E12" s="11">
        <f>'24MS_Data'!E12-MTOM_Data!E12</f>
        <v>0</v>
      </c>
      <c r="F12" s="10">
        <f>'24MS_Data'!F12-MTOM_Data!F12</f>
        <v>6025.8819097768965</v>
      </c>
      <c r="G12" s="11">
        <f>'24MS_Data'!G12-MTOM_Data!G12</f>
        <v>111.45000000000972</v>
      </c>
      <c r="H12" s="11">
        <f>'24MS_Data'!H12-MTOM_Data!H12</f>
        <v>90.000000000000227</v>
      </c>
      <c r="I12" s="11">
        <f>'24MS_Data'!I12-MTOM_Data!I12</f>
        <v>78.70000000000023</v>
      </c>
      <c r="J12" s="12">
        <f>'24MS_Data'!J12-MTOM_Data!J12</f>
        <v>0</v>
      </c>
      <c r="K12" s="11">
        <f>'24MS_Data'!K12-MTOM_Data!K12</f>
        <v>9292.4167545275486</v>
      </c>
      <c r="L12" s="11">
        <f>'24MS_Data'!L12-MTOM_Data!L12</f>
        <v>2.9999999999999991</v>
      </c>
      <c r="M12" s="11">
        <f>'24MS_Data'!M12-MTOM_Data!M12</f>
        <v>5.200000000000002</v>
      </c>
      <c r="N12" s="10">
        <f>'24MS_Data'!N12-MTOM_Data!N12</f>
        <v>7471.5913783136402</v>
      </c>
      <c r="O12" s="11">
        <f>'24MS_Data'!O12-MTOM_Data!O12</f>
        <v>30.2000000000378</v>
      </c>
      <c r="P12" s="11">
        <f>'24MS_Data'!P12-MTOM_Data!P12</f>
        <v>28.000000000000004</v>
      </c>
      <c r="Q12" s="11">
        <f>'24MS_Data'!Q12-MTOM_Data!Q12</f>
        <v>25.120000000000026</v>
      </c>
      <c r="R12" s="12">
        <f>'24MS_Data'!R12-MTOM_Data!R12</f>
        <v>25.119999999984849</v>
      </c>
      <c r="S12" s="11">
        <f>'24MS_Data'!S12-MTOM_Data!S12</f>
        <v>6749.6333542978937</v>
      </c>
      <c r="T12" s="11">
        <f>'24MS_Data'!T12-MTOM_Data!T12</f>
        <v>538.64516129098797</v>
      </c>
      <c r="U12" s="11">
        <f>'24MS_Data'!U12-MTOM_Data!U12</f>
        <v>0</v>
      </c>
      <c r="V12" s="10">
        <f>'24MS_Data'!V12-MTOM_Data!V12</f>
        <v>7633.1478847440858</v>
      </c>
      <c r="W12" s="11">
        <f>'24MS_Data'!W12-MTOM_Data!W12</f>
        <v>7.0000000000000311</v>
      </c>
      <c r="X12" s="12">
        <f>'24MS_Data'!X12-MTOM_Data!X12</f>
        <v>1.8399999999999976</v>
      </c>
      <c r="Y12" s="11">
        <f>'24MS_Data'!Y12-MTOM_Data!Y12</f>
        <v>6051.5064404855575</v>
      </c>
      <c r="Z12" s="11">
        <f>'24MS_Data'!Z12-MTOM_Data!Z12</f>
        <v>52.750999999967959</v>
      </c>
      <c r="AA12" s="11">
        <f>'24MS_Data'!AA12-MTOM_Data!AA12</f>
        <v>61.99999999999973</v>
      </c>
      <c r="AB12" s="11">
        <f>'24MS_Data'!AB12-MTOM_Data!AB12</f>
        <v>21.519999999999982</v>
      </c>
      <c r="AC12" s="11">
        <f>'24MS_Data'!AC12-MTOM_Data!AC12</f>
        <v>0</v>
      </c>
      <c r="AD12" s="10">
        <f>'24MS_Data'!AD12-MTOM_Data!AD12</f>
        <v>3581.4789722440905</v>
      </c>
      <c r="AE12" s="11">
        <f>'24MS_Data'!AE12-MTOM_Data!AE12</f>
        <v>10066.762850427151</v>
      </c>
      <c r="AF12" s="11">
        <f>'24MS_Data'!AF12-MTOM_Data!AF12</f>
        <v>455.06900000029248</v>
      </c>
      <c r="AG12" s="11">
        <f>'24MS_Data'!AG12-MTOM_Data!AG12</f>
        <v>499.99999999999966</v>
      </c>
      <c r="AH12" s="11">
        <f>'24MS_Data'!AH12-MTOM_Data!AH12</f>
        <v>12.689059646406836</v>
      </c>
      <c r="AI12" s="11">
        <f>'24MS_Data'!AI12-MTOM_Data!AI12</f>
        <v>800.00000000000273</v>
      </c>
      <c r="AJ12" s="12">
        <f>'24MS_Data'!AJ12-MTOM_Data!AJ12</f>
        <v>0</v>
      </c>
      <c r="AK12" s="11">
        <f>'24MS_Data'!AK12-MTOM_Data!AK12</f>
        <v>1091.2966744881878</v>
      </c>
      <c r="AL12" s="11">
        <f>'24MS_Data'!AL12-MTOM_Data!AL12</f>
        <v>982302.74507014849</v>
      </c>
      <c r="AM12" s="11">
        <f>'24MS_Data'!AM12-MTOM_Data!AM12</f>
        <v>401.25160083499998</v>
      </c>
      <c r="AN12" s="10">
        <f>'24MS_Data'!AN12-MTOM_Data!AN12</f>
        <v>643.05459791010435</v>
      </c>
      <c r="AO12" s="11">
        <f>'24MS_Data'!AO12-MTOM_Data!AO12</f>
        <v>923380.17084799171</v>
      </c>
      <c r="AP12" s="12">
        <f>'24MS_Data'!AP12-MTOM_Data!AP12</f>
        <v>115.36030463600001</v>
      </c>
      <c r="AQ12" s="11">
        <f>'24MS_Data'!AQ12-MTOM_Data!AQ12</f>
        <v>446.69999999999948</v>
      </c>
      <c r="AR12" s="11">
        <f>'24MS_Data'!AR12-MTOM_Data!AR12</f>
        <v>637816.26349260088</v>
      </c>
      <c r="AS12" s="11">
        <f>'24MS_Data'!AS12-MTOM_Data!AS12</f>
        <v>41298.337060999998</v>
      </c>
      <c r="AT12" s="13">
        <f>'24MS_Data'!AT12-MTOM_Data!AT12</f>
        <v>14856.772980822756</v>
      </c>
      <c r="AU12" s="11">
        <f>'24MS_Data'!AU12-MTOM_Data!AU12</f>
        <v>99676.66666657076</v>
      </c>
      <c r="AV12" s="13">
        <f>'24MS_Data'!AV12-MTOM_Data!AV12</f>
        <v>169475.42294110014</v>
      </c>
    </row>
    <row r="13" x14ac:dyDescent="0.25">
      <c r="A13" s="49">
        <f t="shared" si="0"/>
        <v>44316</v>
      </c>
      <c r="B13" s="10">
        <f>'24MS_Data'!B13-MTOM_Data!B13</f>
        <v>6468.8710298556362</v>
      </c>
      <c r="C13" s="11">
        <f>'24MS_Data'!C13-MTOM_Data!C13</f>
        <v>70</v>
      </c>
      <c r="D13" s="11">
        <f>'24MS_Data'!D13-MTOM_Data!D13</f>
        <v>66.250000000000199</v>
      </c>
      <c r="E13" s="11">
        <f>'24MS_Data'!E13-MTOM_Data!E13</f>
        <v>0</v>
      </c>
      <c r="F13" s="10">
        <f>'24MS_Data'!F13-MTOM_Data!F13</f>
        <v>6026.7888481299151</v>
      </c>
      <c r="G13" s="11">
        <f>'24MS_Data'!G13-MTOM_Data!G13</f>
        <v>116.24999999999991</v>
      </c>
      <c r="H13" s="11">
        <f>'24MS_Data'!H13-MTOM_Data!H13</f>
        <v>120.00000000000006</v>
      </c>
      <c r="I13" s="11">
        <f>'24MS_Data'!I13-MTOM_Data!I13</f>
        <v>76.170000000000115</v>
      </c>
      <c r="J13" s="12">
        <f>'24MS_Data'!J13-MTOM_Data!J13</f>
        <v>0</v>
      </c>
      <c r="K13" s="11">
        <f>'24MS_Data'!K13-MTOM_Data!K13</f>
        <v>9288.8600592191506</v>
      </c>
      <c r="L13" s="11">
        <f>'24MS_Data'!L13-MTOM_Data!L13</f>
        <v>5.9999999999999742</v>
      </c>
      <c r="M13" s="11">
        <f>'24MS_Data'!M13-MTOM_Data!M13</f>
        <v>10.000000000000014</v>
      </c>
      <c r="N13" s="10">
        <f>'24MS_Data'!N13-MTOM_Data!N13</f>
        <v>7474.1690762139024</v>
      </c>
      <c r="O13" s="11">
        <f>'24MS_Data'!O13-MTOM_Data!O13</f>
        <v>63.999999999915893</v>
      </c>
      <c r="P13" s="11">
        <f>'24MS_Data'!P13-MTOM_Data!P13</f>
        <v>59.999999999999737</v>
      </c>
      <c r="Q13" s="11">
        <f>'24MS_Data'!Q13-MTOM_Data!Q13</f>
        <v>45.549999999999969</v>
      </c>
      <c r="R13" s="12">
        <f>'24MS_Data'!R13-MTOM_Data!R13</f>
        <v>45.549999999983157</v>
      </c>
      <c r="S13" s="11">
        <f>'24MS_Data'!S13-MTOM_Data!S13</f>
        <v>6749.6333542978937</v>
      </c>
      <c r="T13" s="11">
        <f>'24MS_Data'!T13-MTOM_Data!T13</f>
        <v>1101.6041666663846</v>
      </c>
      <c r="U13" s="11">
        <f>'24MS_Data'!U13-MTOM_Data!U13</f>
        <v>0</v>
      </c>
      <c r="V13" s="10">
        <f>'24MS_Data'!V13-MTOM_Data!V13</f>
        <v>7641.4815253608849</v>
      </c>
      <c r="W13" s="11">
        <f>'24MS_Data'!W13-MTOM_Data!W13</f>
        <v>19.000000000000004</v>
      </c>
      <c r="X13" s="12">
        <f>'24MS_Data'!X13-MTOM_Data!X13</f>
        <v>1.7900000000000014</v>
      </c>
      <c r="Y13" s="11">
        <f>'24MS_Data'!Y13-MTOM_Data!Y13</f>
        <v>6055.2247189960563</v>
      </c>
      <c r="Z13" s="11">
        <f>'24MS_Data'!Z13-MTOM_Data!Z13</f>
        <v>89.727000000056421</v>
      </c>
      <c r="AA13" s="11">
        <f>'24MS_Data'!AA13-MTOM_Data!AA13</f>
        <v>120.00000000000006</v>
      </c>
      <c r="AB13" s="11">
        <f>'24MS_Data'!AB13-MTOM_Data!AB13</f>
        <v>20.830000000000027</v>
      </c>
      <c r="AC13" s="11">
        <f>'24MS_Data'!AC13-MTOM_Data!AC13</f>
        <v>0</v>
      </c>
      <c r="AD13" s="10">
        <f>'24MS_Data'!AD13-MTOM_Data!AD13</f>
        <v>3580.5914141732246</v>
      </c>
      <c r="AE13" s="11">
        <f>'24MS_Data'!AE13-MTOM_Data!AE13</f>
        <v>9990.2885438515859</v>
      </c>
      <c r="AF13" s="11">
        <f>'24MS_Data'!AF13-MTOM_Data!AF13</f>
        <v>647.27499999910833</v>
      </c>
      <c r="AG13" s="11">
        <f>'24MS_Data'!AG13-MTOM_Data!AG13</f>
        <v>770.00000000000057</v>
      </c>
      <c r="AH13" s="11">
        <f>'24MS_Data'!AH13-MTOM_Data!AH13</f>
        <v>19.867249254779477</v>
      </c>
      <c r="AI13" s="11">
        <f>'24MS_Data'!AI13-MTOM_Data!AI13</f>
        <v>710.0000000000025</v>
      </c>
      <c r="AJ13" s="12">
        <f>'24MS_Data'!AJ13-MTOM_Data!AJ13</f>
        <v>0</v>
      </c>
      <c r="AK13" s="11">
        <f>'24MS_Data'!AK13-MTOM_Data!AK13</f>
        <v>1087.724158809054</v>
      </c>
      <c r="AL13" s="11">
        <f>'24MS_Data'!AL13-MTOM_Data!AL13</f>
        <v>1046567.5503784352</v>
      </c>
      <c r="AM13" s="11">
        <f>'24MS_Data'!AM13-MTOM_Data!AM13</f>
        <v>424.85524952700001</v>
      </c>
      <c r="AN13" s="10">
        <f>'24MS_Data'!AN13-MTOM_Data!AN13</f>
        <v>642.99981670275531</v>
      </c>
      <c r="AO13" s="11">
        <f>'24MS_Data'!AO13-MTOM_Data!AO13</f>
        <v>1018871.7317281376</v>
      </c>
      <c r="AP13" s="12">
        <f>'24MS_Data'!AP13-MTOM_Data!AP13</f>
        <v>127.18890703699999</v>
      </c>
      <c r="AQ13" s="11">
        <f>'24MS_Data'!AQ13-MTOM_Data!AQ13</f>
        <v>448.69999999999948</v>
      </c>
      <c r="AR13" s="11">
        <f>'24MS_Data'!AR13-MTOM_Data!AR13</f>
        <v>707619.93271874276</v>
      </c>
      <c r="AS13" s="11">
        <f>'24MS_Data'!AS13-MTOM_Data!AS13</f>
        <v>46573.602541100001</v>
      </c>
      <c r="AT13" s="13">
        <f>'24MS_Data'!AT13-MTOM_Data!AT13</f>
        <v>21043.293425406762</v>
      </c>
      <c r="AU13" s="11">
        <f>'24MS_Data'!AU13-MTOM_Data!AU13</f>
        <v>96729.666666605059</v>
      </c>
      <c r="AV13" s="13">
        <f>'24MS_Data'!AV13-MTOM_Data!AV13</f>
        <v>163228.20009679018</v>
      </c>
    </row>
    <row r="14" x14ac:dyDescent="0.25">
      <c r="A14" s="49">
        <f t="shared" si="0"/>
        <v>44347</v>
      </c>
      <c r="B14" s="10">
        <f>'24MS_Data'!B14-MTOM_Data!B14</f>
        <v>6479.0930010826705</v>
      </c>
      <c r="C14" s="11">
        <f>'24MS_Data'!C14-MTOM_Data!C14</f>
        <v>134.99999999999972</v>
      </c>
      <c r="D14" s="11">
        <f>'24MS_Data'!D14-MTOM_Data!D14</f>
        <v>86.280000000000229</v>
      </c>
      <c r="E14" s="11">
        <f>'24MS_Data'!E14-MTOM_Data!E14</f>
        <v>0</v>
      </c>
      <c r="F14" s="10">
        <f>'24MS_Data'!F14-MTOM_Data!F14</f>
        <v>6028.0168833005191</v>
      </c>
      <c r="G14" s="11">
        <f>'24MS_Data'!G14-MTOM_Data!G14</f>
        <v>151.28000000003459</v>
      </c>
      <c r="H14" s="11">
        <f>'24MS_Data'!H14-MTOM_Data!H14</f>
        <v>199.99999999999977</v>
      </c>
      <c r="I14" s="11">
        <f>'24MS_Data'!I14-MTOM_Data!I14</f>
        <v>95.369999999999919</v>
      </c>
      <c r="J14" s="12">
        <f>'24MS_Data'!J14-MTOM_Data!J14</f>
        <v>0</v>
      </c>
      <c r="K14" s="11">
        <f>'24MS_Data'!K14-MTOM_Data!K14</f>
        <v>9298.061859875319</v>
      </c>
      <c r="L14" s="11">
        <f>'24MS_Data'!L14-MTOM_Data!L14</f>
        <v>25.000000000000011</v>
      </c>
      <c r="M14" s="11">
        <f>'24MS_Data'!M14-MTOM_Data!M14</f>
        <v>14.000000000000002</v>
      </c>
      <c r="N14" s="10">
        <f>'24MS_Data'!N14-MTOM_Data!N14</f>
        <v>7493.5705980642961</v>
      </c>
      <c r="O14" s="11">
        <f>'24MS_Data'!O14-MTOM_Data!O14</f>
        <v>178.9999999999508</v>
      </c>
      <c r="P14" s="11">
        <f>'24MS_Data'!P14-MTOM_Data!P14</f>
        <v>189.99999999999974</v>
      </c>
      <c r="Q14" s="11">
        <f>'24MS_Data'!Q14-MTOM_Data!Q14</f>
        <v>33.010000000000034</v>
      </c>
      <c r="R14" s="12">
        <f>'24MS_Data'!R14-MTOM_Data!R14</f>
        <v>26.849937063451495</v>
      </c>
      <c r="S14" s="11">
        <f>'24MS_Data'!S14-MTOM_Data!S14</f>
        <v>6749.6333542978937</v>
      </c>
      <c r="T14" s="11">
        <f>'24MS_Data'!T14-MTOM_Data!T14</f>
        <v>1350.0282258053492</v>
      </c>
      <c r="U14" s="11">
        <f>'24MS_Data'!U14-MTOM_Data!U14</f>
        <v>0</v>
      </c>
      <c r="V14" s="10">
        <f>'24MS_Data'!V14-MTOM_Data!V14</f>
        <v>7654.8939303477609</v>
      </c>
      <c r="W14" s="11">
        <f>'24MS_Data'!W14-MTOM_Data!W14</f>
        <v>63.000000000000036</v>
      </c>
      <c r="X14" s="12">
        <f>'24MS_Data'!X14-MTOM_Data!X14</f>
        <v>31.040000000000013</v>
      </c>
      <c r="Y14" s="11">
        <f>'24MS_Data'!Y14-MTOM_Data!Y14</f>
        <v>6064.5898924540616</v>
      </c>
      <c r="Z14" s="11">
        <f>'24MS_Data'!Z14-MTOM_Data!Z14</f>
        <v>185.42099999995693</v>
      </c>
      <c r="AA14" s="11">
        <f>'24MS_Data'!AA14-MTOM_Data!AA14</f>
        <v>250.00000000000011</v>
      </c>
      <c r="AB14" s="11">
        <f>'24MS_Data'!AB14-MTOM_Data!AB14</f>
        <v>26.279999999999998</v>
      </c>
      <c r="AC14" s="11">
        <f>'24MS_Data'!AC14-MTOM_Data!AC14</f>
        <v>0</v>
      </c>
      <c r="AD14" s="10">
        <f>'24MS_Data'!AD14-MTOM_Data!AD14</f>
        <v>3587.9761713582639</v>
      </c>
      <c r="AE14" s="11">
        <f>'24MS_Data'!AE14-MTOM_Data!AE14</f>
        <v>10638.286909023465</v>
      </c>
      <c r="AF14" s="11">
        <f>'24MS_Data'!AF14-MTOM_Data!AF14</f>
        <v>1433.8139999999264</v>
      </c>
      <c r="AG14" s="11">
        <f>'24MS_Data'!AG14-MTOM_Data!AG14</f>
        <v>1850.0000000000014</v>
      </c>
      <c r="AH14" s="11">
        <f>'24MS_Data'!AH14-MTOM_Data!AH14</f>
        <v>23.975764366178314</v>
      </c>
      <c r="AI14" s="11">
        <f>'24MS_Data'!AI14-MTOM_Data!AI14</f>
        <v>710.00000000000011</v>
      </c>
      <c r="AJ14" s="12">
        <f>'24MS_Data'!AJ14-MTOM_Data!AJ14</f>
        <v>0</v>
      </c>
      <c r="AK14" s="11">
        <f>'24MS_Data'!AK14-MTOM_Data!AK14</f>
        <v>1084.1785632808387</v>
      </c>
      <c r="AL14" s="11">
        <f>'24MS_Data'!AL14-MTOM_Data!AL14</f>
        <v>1007075.928231711</v>
      </c>
      <c r="AM14" s="11">
        <f>'24MS_Data'!AM14-MTOM_Data!AM14</f>
        <v>393.638592335</v>
      </c>
      <c r="AN14" s="10">
        <f>'24MS_Data'!AN14-MTOM_Data!AN14</f>
        <v>642.99981670275531</v>
      </c>
      <c r="AO14" s="11">
        <f>'24MS_Data'!AO14-MTOM_Data!AO14</f>
        <v>975075.61508055124</v>
      </c>
      <c r="AP14" s="12">
        <f>'24MS_Data'!AP14-MTOM_Data!AP14</f>
        <v>122.069742597</v>
      </c>
      <c r="AQ14" s="11">
        <f>'24MS_Data'!AQ14-MTOM_Data!AQ14</f>
        <v>448.69999999999948</v>
      </c>
      <c r="AR14" s="11">
        <f>'24MS_Data'!AR14-MTOM_Data!AR14</f>
        <v>704925.50328553689</v>
      </c>
      <c r="AS14" s="11">
        <f>'24MS_Data'!AS14-MTOM_Data!AS14</f>
        <v>46868.205365100002</v>
      </c>
      <c r="AT14" s="13">
        <f>'24MS_Data'!AT14-MTOM_Data!AT14</f>
        <v>27429.188282873842</v>
      </c>
      <c r="AU14" s="11">
        <f>'24MS_Data'!AU14-MTOM_Data!AU14</f>
        <v>88435.666666569974</v>
      </c>
      <c r="AV14" s="13">
        <f>'24MS_Data'!AV14-MTOM_Data!AV14</f>
        <v>171558.4182257331</v>
      </c>
    </row>
    <row r="15" x14ac:dyDescent="0.25">
      <c r="A15" s="49">
        <f t="shared" si="0"/>
        <v>44377</v>
      </c>
      <c r="B15" s="10">
        <f>'24MS_Data'!B15-MTOM_Data!B15</f>
        <v>6498.7476824474998</v>
      </c>
      <c r="C15" s="11">
        <f>'24MS_Data'!C15-MTOM_Data!C15</f>
        <v>265.00000000000017</v>
      </c>
      <c r="D15" s="11">
        <f>'24MS_Data'!D15-MTOM_Data!D15</f>
        <v>135.26999999999981</v>
      </c>
      <c r="E15" s="11">
        <f>'24MS_Data'!E15-MTOM_Data!E15</f>
        <v>33.55242599939195</v>
      </c>
      <c r="F15" s="10">
        <f>'24MS_Data'!F15-MTOM_Data!F15</f>
        <v>6027.2460035761087</v>
      </c>
      <c r="G15" s="11">
        <f>'24MS_Data'!G15-MTOM_Data!G15</f>
        <v>195.26999999997631</v>
      </c>
      <c r="H15" s="11">
        <f>'24MS_Data'!H15-MTOM_Data!H15</f>
        <v>324.99999999999994</v>
      </c>
      <c r="I15" s="11">
        <f>'24MS_Data'!I15-MTOM_Data!I15</f>
        <v>215.21000000000029</v>
      </c>
      <c r="J15" s="12">
        <f>'24MS_Data'!J15-MTOM_Data!J15</f>
        <v>0</v>
      </c>
      <c r="K15" s="11">
        <f>'24MS_Data'!K15-MTOM_Data!K15</f>
        <v>9310.4201785432979</v>
      </c>
      <c r="L15" s="11">
        <f>'24MS_Data'!L15-MTOM_Data!L15</f>
        <v>38.000000000000014</v>
      </c>
      <c r="M15" s="11">
        <f>'24MS_Data'!M15-MTOM_Data!M15</f>
        <v>19.999999999999975</v>
      </c>
      <c r="N15" s="10">
        <f>'24MS_Data'!N15-MTOM_Data!N15</f>
        <v>7504.4427800852945</v>
      </c>
      <c r="O15" s="11">
        <f>'24MS_Data'!O15-MTOM_Data!O15</f>
        <v>242.00000000100846</v>
      </c>
      <c r="P15" s="11">
        <f>'24MS_Data'!P15-MTOM_Data!P15</f>
        <v>260.00000000000011</v>
      </c>
      <c r="Q15" s="11">
        <f>'24MS_Data'!Q15-MTOM_Data!Q15</f>
        <v>151.71999999999991</v>
      </c>
      <c r="R15" s="12">
        <f>'24MS_Data'!R15-MTOM_Data!R15</f>
        <v>0</v>
      </c>
      <c r="S15" s="11">
        <f>'24MS_Data'!S15-MTOM_Data!S15</f>
        <v>6749.6333542978937</v>
      </c>
      <c r="T15" s="11">
        <f>'24MS_Data'!T15-MTOM_Data!T15</f>
        <v>3390.0166666658483</v>
      </c>
      <c r="U15" s="11">
        <f>'24MS_Data'!U15-MTOM_Data!U15</f>
        <v>69.977851239595395</v>
      </c>
      <c r="V15" s="10">
        <f>'24MS_Data'!V15-MTOM_Data!V15</f>
        <v>7663.6209140091787</v>
      </c>
      <c r="W15" s="11">
        <f>'24MS_Data'!W15-MTOM_Data!W15</f>
        <v>66.000000000000128</v>
      </c>
      <c r="X15" s="12">
        <f>'24MS_Data'!X15-MTOM_Data!X15</f>
        <v>42.739999999999988</v>
      </c>
      <c r="Y15" s="11">
        <f>'24MS_Data'!Y15-MTOM_Data!Y15</f>
        <v>6068.7132188648229</v>
      </c>
      <c r="Z15" s="11">
        <f>'24MS_Data'!Z15-MTOM_Data!Z15</f>
        <v>143.05499999999819</v>
      </c>
      <c r="AA15" s="11">
        <f>'24MS_Data'!AA15-MTOM_Data!AA15</f>
        <v>190.00000000000006</v>
      </c>
      <c r="AB15" s="11">
        <f>'24MS_Data'!AB15-MTOM_Data!AB15</f>
        <v>29.749999999999982</v>
      </c>
      <c r="AC15" s="11">
        <f>'24MS_Data'!AC15-MTOM_Data!AC15</f>
        <v>0</v>
      </c>
      <c r="AD15" s="10">
        <f>'24MS_Data'!AD15-MTOM_Data!AD15</f>
        <v>3601.5245949803116</v>
      </c>
      <c r="AE15" s="11">
        <f>'24MS_Data'!AE15-MTOM_Data!AE15</f>
        <v>11896.111742411194</v>
      </c>
      <c r="AF15" s="11">
        <f>'24MS_Data'!AF15-MTOM_Data!AF15</f>
        <v>2148.7170000007809</v>
      </c>
      <c r="AG15" s="11">
        <f>'24MS_Data'!AG15-MTOM_Data!AG15</f>
        <v>2450.0000000000027</v>
      </c>
      <c r="AH15" s="11">
        <f>'24MS_Data'!AH15-MTOM_Data!AH15</f>
        <v>40.266177333224427</v>
      </c>
      <c r="AI15" s="11">
        <f>'24MS_Data'!AI15-MTOM_Data!AI15</f>
        <v>750.00000000000114</v>
      </c>
      <c r="AJ15" s="12">
        <f>'24MS_Data'!AJ15-MTOM_Data!AJ15</f>
        <v>0</v>
      </c>
      <c r="AK15" s="11">
        <f>'24MS_Data'!AK15-MTOM_Data!AK15</f>
        <v>1081.22423926181</v>
      </c>
      <c r="AL15" s="11">
        <f>'24MS_Data'!AL15-MTOM_Data!AL15</f>
        <v>961012.2518380509</v>
      </c>
      <c r="AM15" s="11">
        <f>'24MS_Data'!AM15-MTOM_Data!AM15</f>
        <v>368.378710076</v>
      </c>
      <c r="AN15" s="10">
        <f>'24MS_Data'!AN15-MTOM_Data!AN15</f>
        <v>642.99981670275531</v>
      </c>
      <c r="AO15" s="11">
        <f>'24MS_Data'!AO15-MTOM_Data!AO15</f>
        <v>920802.33685206447</v>
      </c>
      <c r="AP15" s="12">
        <f>'24MS_Data'!AP15-MTOM_Data!AP15</f>
        <v>115.383824132</v>
      </c>
      <c r="AQ15" s="11">
        <f>'24MS_Data'!AQ15-MTOM_Data!AQ15</f>
        <v>448.69999999999948</v>
      </c>
      <c r="AR15" s="11">
        <f>'24MS_Data'!AR15-MTOM_Data!AR15</f>
        <v>717312.92434760032</v>
      </c>
      <c r="AS15" s="11">
        <f>'24MS_Data'!AS15-MTOM_Data!AS15</f>
        <v>47762.502608499999</v>
      </c>
      <c r="AT15" s="13">
        <f>'24MS_Data'!AT15-MTOM_Data!AT15</f>
        <v>27521.272227658366</v>
      </c>
      <c r="AU15" s="11">
        <f>'24MS_Data'!AU15-MTOM_Data!AU15</f>
        <v>85852.666666641046</v>
      </c>
      <c r="AV15" s="13">
        <f>'24MS_Data'!AV15-MTOM_Data!AV15</f>
        <v>99714.914763424429</v>
      </c>
    </row>
    <row r="16" x14ac:dyDescent="0.25">
      <c r="A16" s="49">
        <f t="shared" si="0"/>
        <v>44408</v>
      </c>
      <c r="B16" s="10">
        <f>'24MS_Data'!B16-MTOM_Data!B16</f>
        <v>6503.4315145013052</v>
      </c>
      <c r="C16" s="11">
        <f>'24MS_Data'!C16-MTOM_Data!C16</f>
        <v>169.99999999999989</v>
      </c>
      <c r="D16" s="11">
        <f>'24MS_Data'!D16-MTOM_Data!D16</f>
        <v>131.5999999999998</v>
      </c>
      <c r="E16" s="11">
        <f>'24MS_Data'!E16-MTOM_Data!E16</f>
        <v>29.236278105955996</v>
      </c>
      <c r="F16" s="10">
        <f>'24MS_Data'!F16-MTOM_Data!F16</f>
        <v>6029.0819128280782</v>
      </c>
      <c r="G16" s="11">
        <f>'24MS_Data'!G16-MTOM_Data!G16</f>
        <v>156.59999999992425</v>
      </c>
      <c r="H16" s="11">
        <f>'24MS_Data'!H16-MTOM_Data!H16</f>
        <v>195.00000000000009</v>
      </c>
      <c r="I16" s="11">
        <f>'24MS_Data'!I16-MTOM_Data!I16</f>
        <v>70.610000000000227</v>
      </c>
      <c r="J16" s="12">
        <f>'24MS_Data'!J16-MTOM_Data!J16</f>
        <v>0</v>
      </c>
      <c r="K16" s="11">
        <f>'24MS_Data'!K16-MTOM_Data!K16</f>
        <v>9304.884012040673</v>
      </c>
      <c r="L16" s="11">
        <f>'24MS_Data'!L16-MTOM_Data!L16</f>
        <v>14.999999999999998</v>
      </c>
      <c r="M16" s="11">
        <f>'24MS_Data'!M16-MTOM_Data!M16</f>
        <v>23.499999999999993</v>
      </c>
      <c r="N16" s="10">
        <f>'24MS_Data'!N16-MTOM_Data!N16</f>
        <v>7506.7755209317511</v>
      </c>
      <c r="O16" s="11">
        <f>'24MS_Data'!O16-MTOM_Data!O16</f>
        <v>98.499999999929869</v>
      </c>
      <c r="P16" s="11">
        <f>'24MS_Data'!P16-MTOM_Data!P16</f>
        <v>90.000000000000227</v>
      </c>
      <c r="Q16" s="11">
        <f>'24MS_Data'!Q16-MTOM_Data!Q16</f>
        <v>77.230000000000018</v>
      </c>
      <c r="R16" s="12">
        <f>'24MS_Data'!R16-MTOM_Data!R16</f>
        <v>0</v>
      </c>
      <c r="S16" s="11">
        <f>'24MS_Data'!S16-MTOM_Data!S16</f>
        <v>6749.6333542978937</v>
      </c>
      <c r="T16" s="11">
        <f>'24MS_Data'!T16-MTOM_Data!T16</f>
        <v>1499.9771505383592</v>
      </c>
      <c r="U16" s="11">
        <f>'24MS_Data'!U16-MTOM_Data!U16</f>
        <v>0</v>
      </c>
      <c r="V16" s="10">
        <f>'24MS_Data'!V16-MTOM_Data!V16</f>
        <v>7657.8638130249255</v>
      </c>
      <c r="W16" s="11">
        <f>'24MS_Data'!W16-MTOM_Data!W16</f>
        <v>27.000000000000004</v>
      </c>
      <c r="X16" s="12">
        <f>'24MS_Data'!X16-MTOM_Data!X16</f>
        <v>41.54</v>
      </c>
      <c r="Y16" s="11">
        <f>'24MS_Data'!Y16-MTOM_Data!Y16</f>
        <v>6065.8128626312273</v>
      </c>
      <c r="Z16" s="11">
        <f>'24MS_Data'!Z16-MTOM_Data!Z16</f>
        <v>53.371999999976872</v>
      </c>
      <c r="AA16" s="11">
        <f>'24MS_Data'!AA16-MTOM_Data!AA16</f>
        <v>40.000000000000014</v>
      </c>
      <c r="AB16" s="11">
        <f>'24MS_Data'!AB16-MTOM_Data!AB16</f>
        <v>30.739999999999984</v>
      </c>
      <c r="AC16" s="11">
        <f>'24MS_Data'!AC16-MTOM_Data!AC16</f>
        <v>0</v>
      </c>
      <c r="AD16" s="10">
        <f>'24MS_Data'!AD16-MTOM_Data!AD16</f>
        <v>3600.6703596456655</v>
      </c>
      <c r="AE16" s="11">
        <f>'24MS_Data'!AE16-MTOM_Data!AE16</f>
        <v>11814.14672977589</v>
      </c>
      <c r="AF16" s="11">
        <f>'24MS_Data'!AF16-MTOM_Data!AF16</f>
        <v>811.95400000081281</v>
      </c>
      <c r="AG16" s="11">
        <f>'24MS_Data'!AG16-MTOM_Data!AG16</f>
        <v>900.00000000000216</v>
      </c>
      <c r="AH16" s="11">
        <f>'24MS_Data'!AH16-MTOM_Data!AH16</f>
        <v>50.476211415639369</v>
      </c>
      <c r="AI16" s="11">
        <f>'24MS_Data'!AI16-MTOM_Data!AI16</f>
        <v>849.99999999999932</v>
      </c>
      <c r="AJ16" s="12">
        <f>'24MS_Data'!AJ16-MTOM_Data!AJ16</f>
        <v>0</v>
      </c>
      <c r="AK16" s="11">
        <f>'24MS_Data'!AK16-MTOM_Data!AK16</f>
        <v>1081.0852705643033</v>
      </c>
      <c r="AL16" s="11">
        <f>'24MS_Data'!AL16-MTOM_Data!AL16</f>
        <v>840711.3785465986</v>
      </c>
      <c r="AM16" s="11">
        <f>'24MS_Data'!AM16-MTOM_Data!AM16</f>
        <v>328.16217583600002</v>
      </c>
      <c r="AN16" s="10">
        <f>'24MS_Data'!AN16-MTOM_Data!AN16</f>
        <v>641.99704448162663</v>
      </c>
      <c r="AO16" s="11">
        <f>'24MS_Data'!AO16-MTOM_Data!AO16</f>
        <v>830837.38441076491</v>
      </c>
      <c r="AP16" s="12">
        <f>'24MS_Data'!AP16-MTOM_Data!AP16</f>
        <v>104.25727594999999</v>
      </c>
      <c r="AQ16" s="11">
        <f>'24MS_Data'!AQ16-MTOM_Data!AQ16</f>
        <v>447.99999999999949</v>
      </c>
      <c r="AR16" s="11">
        <f>'24MS_Data'!AR16-MTOM_Data!AR16</f>
        <v>692313.83763776626</v>
      </c>
      <c r="AS16" s="11">
        <f>'24MS_Data'!AS16-MTOM_Data!AS16</f>
        <v>45826.809837000001</v>
      </c>
      <c r="AT16" s="13">
        <f>'24MS_Data'!AT16-MTOM_Data!AT16</f>
        <v>28006.191350299472</v>
      </c>
      <c r="AU16" s="11">
        <f>'24MS_Data'!AU16-MTOM_Data!AU16</f>
        <v>88429.666666698933</v>
      </c>
      <c r="AV16" s="13">
        <f>'24MS_Data'!AV16-MTOM_Data!AV16</f>
        <v>51819.245788692089</v>
      </c>
    </row>
    <row r="17" x14ac:dyDescent="0.25">
      <c r="A17" s="49">
        <f t="shared" si="0"/>
        <v>44439</v>
      </c>
      <c r="B17" s="10">
        <f>'24MS_Data'!B17-MTOM_Data!B17</f>
        <v>6501.0470266076045</v>
      </c>
      <c r="C17" s="11">
        <f>'24MS_Data'!C17-MTOM_Data!C17</f>
        <v>59.999999999999993</v>
      </c>
      <c r="D17" s="11">
        <f>'24MS_Data'!D17-MTOM_Data!D17</f>
        <v>76.169999999999888</v>
      </c>
      <c r="E17" s="11">
        <f>'24MS_Data'!E17-MTOM_Data!E17</f>
        <v>0</v>
      </c>
      <c r="F17" s="10">
        <f>'24MS_Data'!F17-MTOM_Data!F17</f>
        <v>6028.7657872703348</v>
      </c>
      <c r="G17" s="11">
        <f>'24MS_Data'!G17-MTOM_Data!G17</f>
        <v>86.169999999989017</v>
      </c>
      <c r="H17" s="11">
        <f>'24MS_Data'!H17-MTOM_Data!H17</f>
        <v>70.000000000000327</v>
      </c>
      <c r="I17" s="11">
        <f>'24MS_Data'!I17-MTOM_Data!I17</f>
        <v>86.079999999999799</v>
      </c>
      <c r="J17" s="12">
        <f>'24MS_Data'!J17-MTOM_Data!J17</f>
        <v>0</v>
      </c>
      <c r="K17" s="11">
        <f>'24MS_Data'!K17-MTOM_Data!K17</f>
        <v>9296.9048540682306</v>
      </c>
      <c r="L17" s="11">
        <f>'24MS_Data'!L17-MTOM_Data!L17</f>
        <v>8.0000000000000266</v>
      </c>
      <c r="M17" s="11">
        <f>'24MS_Data'!M17-MTOM_Data!M17</f>
        <v>18.999999999999979</v>
      </c>
      <c r="N17" s="10">
        <f>'24MS_Data'!N17-MTOM_Data!N17</f>
        <v>7504.1353421259773</v>
      </c>
      <c r="O17" s="11">
        <f>'24MS_Data'!O17-MTOM_Data!O17</f>
        <v>60.999999999992951</v>
      </c>
      <c r="P17" s="11">
        <f>'24MS_Data'!P17-MTOM_Data!P17</f>
        <v>49.999999999999964</v>
      </c>
      <c r="Q17" s="11">
        <f>'24MS_Data'!Q17-MTOM_Data!Q17</f>
        <v>82.230000000000288</v>
      </c>
      <c r="R17" s="12">
        <f>'24MS_Data'!R17-MTOM_Data!R17</f>
        <v>0</v>
      </c>
      <c r="S17" s="11">
        <f>'24MS_Data'!S17-MTOM_Data!S17</f>
        <v>6749.6333542978937</v>
      </c>
      <c r="T17" s="11">
        <f>'24MS_Data'!T17-MTOM_Data!T17</f>
        <v>1499.9771505383592</v>
      </c>
      <c r="U17" s="11">
        <f>'24MS_Data'!U17-MTOM_Data!U17</f>
        <v>0</v>
      </c>
      <c r="V17" s="10">
        <f>'24MS_Data'!V17-MTOM_Data!V17</f>
        <v>7649.2927940288637</v>
      </c>
      <c r="W17" s="11">
        <f>'24MS_Data'!W17-MTOM_Data!W17</f>
        <v>16.999999999999989</v>
      </c>
      <c r="X17" s="12">
        <f>'24MS_Data'!X17-MTOM_Data!X17</f>
        <v>37.810000000000016</v>
      </c>
      <c r="Y17" s="11">
        <f>'24MS_Data'!Y17-MTOM_Data!Y17</f>
        <v>6063.5630696194166</v>
      </c>
      <c r="Z17" s="11">
        <f>'24MS_Data'!Z17-MTOM_Data!Z17</f>
        <v>53.897000000094543</v>
      </c>
      <c r="AA17" s="11">
        <f>'24MS_Data'!AA17-MTOM_Data!AA17</f>
        <v>33.999999999999972</v>
      </c>
      <c r="AB17" s="11">
        <f>'24MS_Data'!AB17-MTOM_Data!AB17</f>
        <v>31.83000000000002</v>
      </c>
      <c r="AC17" s="11">
        <f>'24MS_Data'!AC17-MTOM_Data!AC17</f>
        <v>0</v>
      </c>
      <c r="AD17" s="10">
        <f>'24MS_Data'!AD17-MTOM_Data!AD17</f>
        <v>3596.224156660101</v>
      </c>
      <c r="AE17" s="11">
        <f>'24MS_Data'!AE17-MTOM_Data!AE17</f>
        <v>11393.382994225545</v>
      </c>
      <c r="AF17" s="11">
        <f>'24MS_Data'!AF17-MTOM_Data!AF17</f>
        <v>495.16699999998661</v>
      </c>
      <c r="AG17" s="11">
        <f>'24MS_Data'!AG17-MTOM_Data!AG17</f>
        <v>400.00000000000011</v>
      </c>
      <c r="AH17" s="11">
        <f>'24MS_Data'!AH17-MTOM_Data!AH17</f>
        <v>49.591835297650547</v>
      </c>
      <c r="AI17" s="11">
        <f>'24MS_Data'!AI17-MTOM_Data!AI17</f>
        <v>900.00000000000216</v>
      </c>
      <c r="AJ17" s="12">
        <f>'24MS_Data'!AJ17-MTOM_Data!AJ17</f>
        <v>0</v>
      </c>
      <c r="AK17" s="11">
        <f>'24MS_Data'!AK17-MTOM_Data!AK17</f>
        <v>1082.12067383202</v>
      </c>
      <c r="AL17" s="11">
        <f>'24MS_Data'!AL17-MTOM_Data!AL17</f>
        <v>799183.13938007341</v>
      </c>
      <c r="AM17" s="11">
        <f>'24MS_Data'!AM17-MTOM_Data!AM17</f>
        <v>310.89967484099998</v>
      </c>
      <c r="AN17" s="10">
        <f>'24MS_Data'!AN17-MTOM_Data!AN17</f>
        <v>641.99704448162663</v>
      </c>
      <c r="AO17" s="11">
        <f>'24MS_Data'!AO17-MTOM_Data!AO17</f>
        <v>764312.81518054905</v>
      </c>
      <c r="AP17" s="12">
        <f>'24MS_Data'!AP17-MTOM_Data!AP17</f>
        <v>95.841560614500011</v>
      </c>
      <c r="AQ17" s="11">
        <f>'24MS_Data'!AQ17-MTOM_Data!AQ17</f>
        <v>447.50000000328043</v>
      </c>
      <c r="AR17" s="11">
        <f>'24MS_Data'!AR17-MTOM_Data!AR17</f>
        <v>622530.01914201723</v>
      </c>
      <c r="AS17" s="11">
        <f>'24MS_Data'!AS17-MTOM_Data!AS17</f>
        <v>40798.736637100003</v>
      </c>
      <c r="AT17" s="13">
        <f>'24MS_Data'!AT17-MTOM_Data!AT17</f>
        <v>28476.748756777473</v>
      </c>
      <c r="AU17" s="11">
        <f>'24MS_Data'!AU17-MTOM_Data!AU17</f>
        <v>88429.666666698933</v>
      </c>
      <c r="AV17" s="13">
        <f>'24MS_Data'!AV17-MTOM_Data!AV17</f>
        <v>51819.245788692089</v>
      </c>
    </row>
    <row r="18" x14ac:dyDescent="0.25">
      <c r="A18" s="49">
        <f t="shared" si="0"/>
        <v>44469</v>
      </c>
      <c r="B18" s="10">
        <f>'24MS_Data'!B18-MTOM_Data!B18</f>
        <v>6498.0803856627226</v>
      </c>
      <c r="C18" s="11">
        <f>'24MS_Data'!C18-MTOM_Data!C18</f>
        <v>45.000000000000014</v>
      </c>
      <c r="D18" s="11">
        <f>'24MS_Data'!D18-MTOM_Data!D18</f>
        <v>65.449999999999875</v>
      </c>
      <c r="E18" s="11">
        <f>'24MS_Data'!E18-MTOM_Data!E18</f>
        <v>45.493521843559776</v>
      </c>
      <c r="F18" s="10">
        <f>'24MS_Data'!F18-MTOM_Data!F18</f>
        <v>6028.0097410433009</v>
      </c>
      <c r="G18" s="11">
        <f>'24MS_Data'!G18-MTOM_Data!G18</f>
        <v>73.4499999999327</v>
      </c>
      <c r="H18" s="11">
        <f>'24MS_Data'!H18-MTOM_Data!H18</f>
        <v>53.000000000000036</v>
      </c>
      <c r="I18" s="11">
        <f>'24MS_Data'!I18-MTOM_Data!I18</f>
        <v>92.22999999999999</v>
      </c>
      <c r="J18" s="12">
        <f>'24MS_Data'!J18-MTOM_Data!J18</f>
        <v>0</v>
      </c>
      <c r="K18" s="11">
        <f>'24MS_Data'!K18-MTOM_Data!K18</f>
        <v>9286.9776111876545</v>
      </c>
      <c r="L18" s="11">
        <f>'24MS_Data'!L18-MTOM_Data!L18</f>
        <v>5.9999999999999742</v>
      </c>
      <c r="M18" s="11">
        <f>'24MS_Data'!M18-MTOM_Data!M18</f>
        <v>17.499999999999968</v>
      </c>
      <c r="N18" s="10">
        <f>'24MS_Data'!N18-MTOM_Data!N18</f>
        <v>7500.1948098425119</v>
      </c>
      <c r="O18" s="11">
        <f>'24MS_Data'!O18-MTOM_Data!O18</f>
        <v>44.499999999957936</v>
      </c>
      <c r="P18" s="11">
        <f>'24MS_Data'!P18-MTOM_Data!P18</f>
        <v>33.000000000000007</v>
      </c>
      <c r="Q18" s="11">
        <f>'24MS_Data'!Q18-MTOM_Data!Q18</f>
        <v>76.310000000000244</v>
      </c>
      <c r="R18" s="12">
        <f>'24MS_Data'!R18-MTOM_Data!R18</f>
        <v>0</v>
      </c>
      <c r="S18" s="11">
        <f>'24MS_Data'!S18-MTOM_Data!S18</f>
        <v>6749.6333542978937</v>
      </c>
      <c r="T18" s="11">
        <f>'24MS_Data'!T18-MTOM_Data!T18</f>
        <v>1400.0708333321472</v>
      </c>
      <c r="U18" s="11">
        <f>'24MS_Data'!U18-MTOM_Data!U18</f>
        <v>31.403812410954988</v>
      </c>
      <c r="V18" s="10">
        <f>'24MS_Data'!V18-MTOM_Data!V18</f>
        <v>7642.7917838254516</v>
      </c>
      <c r="W18" s="11">
        <f>'24MS_Data'!W18-MTOM_Data!W18</f>
        <v>15.000000000000023</v>
      </c>
      <c r="X18" s="12">
        <f>'24MS_Data'!X18-MTOM_Data!X18</f>
        <v>29.619999999999997</v>
      </c>
      <c r="Y18" s="11">
        <f>'24MS_Data'!Y18-MTOM_Data!Y18</f>
        <v>6062.5928158136421</v>
      </c>
      <c r="Z18" s="11">
        <f>'24MS_Data'!Z18-MTOM_Data!Z18</f>
        <v>47.289999999994912</v>
      </c>
      <c r="AA18" s="11">
        <f>'24MS_Data'!AA18-MTOM_Data!AA18</f>
        <v>33.999999999999972</v>
      </c>
      <c r="AB18" s="11">
        <f>'24MS_Data'!AB18-MTOM_Data!AB18</f>
        <v>31.040000000000003</v>
      </c>
      <c r="AC18" s="11">
        <f>'24MS_Data'!AC18-MTOM_Data!AC18</f>
        <v>0</v>
      </c>
      <c r="AD18" s="10">
        <f>'24MS_Data'!AD18-MTOM_Data!AD18</f>
        <v>3593.4042543307046</v>
      </c>
      <c r="AE18" s="11">
        <f>'24MS_Data'!AE18-MTOM_Data!AE18</f>
        <v>11131.502249031713</v>
      </c>
      <c r="AF18" s="11">
        <f>'24MS_Data'!AF18-MTOM_Data!AF18</f>
        <v>431.97799999900849</v>
      </c>
      <c r="AG18" s="11">
        <f>'24MS_Data'!AG18-MTOM_Data!AG18</f>
        <v>324.99999999999994</v>
      </c>
      <c r="AH18" s="11">
        <f>'24MS_Data'!AH18-MTOM_Data!AH18</f>
        <v>44.809198157788543</v>
      </c>
      <c r="AI18" s="11">
        <f>'24MS_Data'!AI18-MTOM_Data!AI18</f>
        <v>669.99999999999784</v>
      </c>
      <c r="AJ18" s="12">
        <f>'24MS_Data'!AJ18-MTOM_Data!AJ18</f>
        <v>0</v>
      </c>
      <c r="AK18" s="11">
        <f>'24MS_Data'!AK18-MTOM_Data!AK18</f>
        <v>1081.3807422834634</v>
      </c>
      <c r="AL18" s="11">
        <f>'24MS_Data'!AL18-MTOM_Data!AL18</f>
        <v>727328.51725362893</v>
      </c>
      <c r="AM18" s="11">
        <f>'24MS_Data'!AM18-MTOM_Data!AM18</f>
        <v>281.575250504</v>
      </c>
      <c r="AN18" s="10">
        <f>'24MS_Data'!AN18-MTOM_Data!AN18</f>
        <v>640.00753110564244</v>
      </c>
      <c r="AO18" s="11">
        <f>'24MS_Data'!AO18-MTOM_Data!AO18</f>
        <v>748341.30757032568</v>
      </c>
      <c r="AP18" s="12">
        <f>'24MS_Data'!AP18-MTOM_Data!AP18</f>
        <v>93.128778487799991</v>
      </c>
      <c r="AQ18" s="11">
        <f>'24MS_Data'!AQ18-MTOM_Data!AQ18</f>
        <v>447.49999999999949</v>
      </c>
      <c r="AR18" s="11">
        <f>'24MS_Data'!AR18-MTOM_Data!AR18</f>
        <v>529375.88653757179</v>
      </c>
      <c r="AS18" s="11">
        <f>'24MS_Data'!AS18-MTOM_Data!AS18</f>
        <v>34444.793820699997</v>
      </c>
      <c r="AT18" s="13">
        <f>'24MS_Data'!AT18-MTOM_Data!AT18</f>
        <v>24583.034059359456</v>
      </c>
      <c r="AU18" s="11">
        <f>'24MS_Data'!AU18-MTOM_Data!AU18</f>
        <v>70337.666666763776</v>
      </c>
      <c r="AV18" s="13">
        <f>'24MS_Data'!AV18-MTOM_Data!AV18</f>
        <v>140322.30400391002</v>
      </c>
    </row>
    <row r="19" x14ac:dyDescent="0.25">
      <c r="A19" s="49">
        <f t="shared" si="0"/>
        <v>44500</v>
      </c>
      <c r="B19" s="10">
        <f>'24MS_Data'!B19-MTOM_Data!B19</f>
        <v>6495.2054775590477</v>
      </c>
      <c r="C19" s="11">
        <f>'24MS_Data'!C19-MTOM_Data!C19</f>
        <v>48.020000000000024</v>
      </c>
      <c r="D19" s="11">
        <f>'24MS_Data'!D19-MTOM_Data!D19</f>
        <v>67.640000000000157</v>
      </c>
      <c r="E19" s="11">
        <f>'24MS_Data'!E19-MTOM_Data!E19</f>
        <v>0</v>
      </c>
      <c r="F19" s="10">
        <f>'24MS_Data'!F19-MTOM_Data!F19</f>
        <v>6027.8754241797842</v>
      </c>
      <c r="G19" s="11">
        <f>'24MS_Data'!G19-MTOM_Data!G19</f>
        <v>77.159999999923727</v>
      </c>
      <c r="H19" s="11">
        <f>'24MS_Data'!H19-MTOM_Data!H19</f>
        <v>57.539999999999992</v>
      </c>
      <c r="I19" s="11">
        <f>'24MS_Data'!I19-MTOM_Data!I19</f>
        <v>75.170000000000186</v>
      </c>
      <c r="J19" s="12">
        <f>'24MS_Data'!J19-MTOM_Data!J19</f>
        <v>0</v>
      </c>
      <c r="K19" s="11">
        <f>'24MS_Data'!K19-MTOM_Data!K19</f>
        <v>9281.1778197834537</v>
      </c>
      <c r="L19" s="11">
        <f>'24MS_Data'!L19-MTOM_Data!L19</f>
        <v>5.8300000000000027</v>
      </c>
      <c r="M19" s="11">
        <f>'24MS_Data'!M19-MTOM_Data!M19</f>
        <v>11.49999999999998</v>
      </c>
      <c r="N19" s="10">
        <f>'24MS_Data'!N19-MTOM_Data!N19</f>
        <v>7495.4438272965799</v>
      </c>
      <c r="O19" s="11">
        <f>'24MS_Data'!O19-MTOM_Data!O19</f>
        <v>40.539999999966902</v>
      </c>
      <c r="P19" s="11">
        <f>'24MS_Data'!P19-MTOM_Data!P19</f>
        <v>34.870000000000033</v>
      </c>
      <c r="Q19" s="11">
        <f>'24MS_Data'!Q19-MTOM_Data!Q19</f>
        <v>78.610000000000198</v>
      </c>
      <c r="R19" s="12">
        <f>'24MS_Data'!R19-MTOM_Data!R19</f>
        <v>0</v>
      </c>
      <c r="S19" s="11">
        <f>'24MS_Data'!S19-MTOM_Data!S19</f>
        <v>6749.6333542978937</v>
      </c>
      <c r="T19" s="11">
        <f>'24MS_Data'!T19-MTOM_Data!T19</f>
        <v>1399.9569892468064</v>
      </c>
      <c r="U19" s="11">
        <f>'24MS_Data'!U19-MTOM_Data!U19</f>
        <v>0</v>
      </c>
      <c r="V19" s="10">
        <f>'24MS_Data'!V19-MTOM_Data!V19</f>
        <v>7641.313062106291</v>
      </c>
      <c r="W19" s="11">
        <f>'24MS_Data'!W19-MTOM_Data!W19</f>
        <v>14.170000000000027</v>
      </c>
      <c r="X19" s="12">
        <f>'24MS_Data'!X19-MTOM_Data!X19</f>
        <v>17.199999999999985</v>
      </c>
      <c r="Y19" s="11">
        <f>'24MS_Data'!Y19-MTOM_Data!Y19</f>
        <v>6062.5625452099675</v>
      </c>
      <c r="Z19" s="11">
        <f>'24MS_Data'!Z19-MTOM_Data!Z19</f>
        <v>41.297000000093156</v>
      </c>
      <c r="AA19" s="11">
        <f>'24MS_Data'!AA19-MTOM_Data!AA19</f>
        <v>40.240000000000038</v>
      </c>
      <c r="AB19" s="11">
        <f>'24MS_Data'!AB19-MTOM_Data!AB19</f>
        <v>30.679999999999978</v>
      </c>
      <c r="AC19" s="11">
        <f>'24MS_Data'!AC19-MTOM_Data!AC19</f>
        <v>0</v>
      </c>
      <c r="AD19" s="10">
        <f>'24MS_Data'!AD19-MTOM_Data!AD19</f>
        <v>3591.7395092519646</v>
      </c>
      <c r="AE19" s="11">
        <f>'24MS_Data'!AE19-MTOM_Data!AE19</f>
        <v>10978.722875016212</v>
      </c>
      <c r="AF19" s="11">
        <f>'24MS_Data'!AF19-MTOM_Data!AF19</f>
        <v>505.6470000005985</v>
      </c>
      <c r="AG19" s="11">
        <f>'24MS_Data'!AG19-MTOM_Data!AG19</f>
        <v>442.64000000000004</v>
      </c>
      <c r="AH19" s="11">
        <f>'24MS_Data'!AH19-MTOM_Data!AH19</f>
        <v>30.648720177724993</v>
      </c>
      <c r="AI19" s="11">
        <f>'24MS_Data'!AI19-MTOM_Data!AI19</f>
        <v>639.99999999999716</v>
      </c>
      <c r="AJ19" s="12">
        <f>'24MS_Data'!AJ19-MTOM_Data!AJ19</f>
        <v>0</v>
      </c>
      <c r="AK19" s="11">
        <f>'24MS_Data'!AK19-MTOM_Data!AK19</f>
        <v>1082.6548651279516</v>
      </c>
      <c r="AL19" s="11">
        <f>'24MS_Data'!AL19-MTOM_Data!AL19</f>
        <v>535328.15397537185</v>
      </c>
      <c r="AM19" s="11">
        <f>'24MS_Data'!AM19-MTOM_Data!AM19</f>
        <v>204.22070144599999</v>
      </c>
      <c r="AN19" s="10">
        <f>'24MS_Data'!AN19-MTOM_Data!AN19</f>
        <v>632.99732935367388</v>
      </c>
      <c r="AO19" s="11">
        <f>'24MS_Data'!AO19-MTOM_Data!AO19</f>
        <v>693397.13852896634</v>
      </c>
      <c r="AP19" s="12">
        <f>'24MS_Data'!AP19-MTOM_Data!AP19</f>
        <v>83.792244803000003</v>
      </c>
      <c r="AQ19" s="11">
        <f>'24MS_Data'!AQ19-MTOM_Data!AQ19</f>
        <v>447.49999999999949</v>
      </c>
      <c r="AR19" s="11">
        <f>'24MS_Data'!AR19-MTOM_Data!AR19</f>
        <v>470008.67232768144</v>
      </c>
      <c r="AS19" s="11">
        <f>'24MS_Data'!AS19-MTOM_Data!AS19</f>
        <v>30935.956954500001</v>
      </c>
      <c r="AT19" s="13">
        <f>'24MS_Data'!AT19-MTOM_Data!AT19</f>
        <v>23522.801482902527</v>
      </c>
      <c r="AU19" s="11">
        <f>'24MS_Data'!AU19-MTOM_Data!AU19</f>
        <v>56385.666666768942</v>
      </c>
      <c r="AV19" s="13">
        <f>'24MS_Data'!AV19-MTOM_Data!AV19</f>
        <v>172599.47511558581</v>
      </c>
    </row>
    <row r="20" x14ac:dyDescent="0.25">
      <c r="A20" s="49">
        <f t="shared" si="0"/>
        <v>44530</v>
      </c>
      <c r="B20" s="10">
        <f>'24MS_Data'!B20-MTOM_Data!B20</f>
        <v>6491.5035609908064</v>
      </c>
      <c r="C20" s="11">
        <f>'24MS_Data'!C20-MTOM_Data!C20</f>
        <v>41.830000000000027</v>
      </c>
      <c r="D20" s="11">
        <f>'24MS_Data'!D20-MTOM_Data!D20</f>
        <v>66.94</v>
      </c>
      <c r="E20" s="11">
        <f>'24MS_Data'!E20-MTOM_Data!E20</f>
        <v>0</v>
      </c>
      <c r="F20" s="10">
        <f>'24MS_Data'!F20-MTOM_Data!F20</f>
        <v>6027.6900735564241</v>
      </c>
      <c r="G20" s="11">
        <f>'24MS_Data'!G20-MTOM_Data!G20</f>
        <v>75.590000000104169</v>
      </c>
      <c r="H20" s="11">
        <f>'24MS_Data'!H20-MTOM_Data!H20</f>
        <v>50.479999999999983</v>
      </c>
      <c r="I20" s="11">
        <f>'24MS_Data'!I20-MTOM_Data!I20</f>
        <v>79.439999999999728</v>
      </c>
      <c r="J20" s="12">
        <f>'24MS_Data'!J20-MTOM_Data!J20</f>
        <v>0</v>
      </c>
      <c r="K20" s="11">
        <f>'24MS_Data'!K20-MTOM_Data!K20</f>
        <v>9280.8925306758447</v>
      </c>
      <c r="L20" s="11">
        <f>'24MS_Data'!L20-MTOM_Data!L20</f>
        <v>4.79</v>
      </c>
      <c r="M20" s="11">
        <f>'24MS_Data'!M20-MTOM_Data!M20</f>
        <v>5.0499999999999972</v>
      </c>
      <c r="N20" s="10">
        <f>'24MS_Data'!N20-MTOM_Data!N20</f>
        <v>7495.7102873359499</v>
      </c>
      <c r="O20" s="11">
        <f>'24MS_Data'!O20-MTOM_Data!O20</f>
        <v>30.010000000030235</v>
      </c>
      <c r="P20" s="11">
        <f>'24MS_Data'!P20-MTOM_Data!P20</f>
        <v>29.749999999999982</v>
      </c>
      <c r="Q20" s="11">
        <f>'24MS_Data'!Q20-MTOM_Data!Q20</f>
        <v>27.630000000000031</v>
      </c>
      <c r="R20" s="12">
        <f>'24MS_Data'!R20-MTOM_Data!R20</f>
        <v>0</v>
      </c>
      <c r="S20" s="11">
        <f>'24MS_Data'!S20-MTOM_Data!S20</f>
        <v>6749.6333542978937</v>
      </c>
      <c r="T20" s="11">
        <f>'24MS_Data'!T20-MTOM_Data!T20</f>
        <v>573.40555555671403</v>
      </c>
      <c r="U20" s="11">
        <f>'24MS_Data'!U20-MTOM_Data!U20</f>
        <v>0</v>
      </c>
      <c r="V20" s="10">
        <f>'24MS_Data'!V20-MTOM_Data!V20</f>
        <v>7643.9420848425107</v>
      </c>
      <c r="W20" s="11">
        <f>'24MS_Data'!W20-MTOM_Data!W20</f>
        <v>8.3699999999999903</v>
      </c>
      <c r="X20" s="12">
        <f>'24MS_Data'!X20-MTOM_Data!X20</f>
        <v>2.4799999999999986</v>
      </c>
      <c r="Y20" s="11">
        <f>'24MS_Data'!Y20-MTOM_Data!Y20</f>
        <v>6062.1233730971062</v>
      </c>
      <c r="Z20" s="11">
        <f>'24MS_Data'!Z20-MTOM_Data!Z20</f>
        <v>24.97199999995728</v>
      </c>
      <c r="AA20" s="11">
        <f>'24MS_Data'!AA20-MTOM_Data!AA20</f>
        <v>31.130000000000003</v>
      </c>
      <c r="AB20" s="11">
        <f>'24MS_Data'!AB20-MTOM_Data!AB20</f>
        <v>29.690000000000005</v>
      </c>
      <c r="AC20" s="11">
        <f>'24MS_Data'!AC20-MTOM_Data!AC20</f>
        <v>0</v>
      </c>
      <c r="AD20" s="10">
        <f>'24MS_Data'!AD20-MTOM_Data!AD20</f>
        <v>3589.67259438976</v>
      </c>
      <c r="AE20" s="11">
        <f>'24MS_Data'!AE20-MTOM_Data!AE20</f>
        <v>10790.900567019666</v>
      </c>
      <c r="AF20" s="11">
        <f>'24MS_Data'!AF20-MTOM_Data!AF20</f>
        <v>466.51000000078636</v>
      </c>
      <c r="AG20" s="11">
        <f>'24MS_Data'!AG20-MTOM_Data!AG20</f>
        <v>440.78999999999996</v>
      </c>
      <c r="AH20" s="11">
        <f>'24MS_Data'!AH20-MTOM_Data!AH20</f>
        <v>29.358088022276924</v>
      </c>
      <c r="AI20" s="11">
        <f>'24MS_Data'!AI20-MTOM_Data!AI20</f>
        <v>640.00000000000193</v>
      </c>
      <c r="AJ20" s="12">
        <f>'24MS_Data'!AJ20-MTOM_Data!AJ20</f>
        <v>0</v>
      </c>
      <c r="AK20" s="11">
        <f>'24MS_Data'!AK20-MTOM_Data!AK20</f>
        <v>1082.5916416765081</v>
      </c>
      <c r="AL20" s="11">
        <f>'24MS_Data'!AL20-MTOM_Data!AL20</f>
        <v>654420.87115926202</v>
      </c>
      <c r="AM20" s="11">
        <f>'24MS_Data'!AM20-MTOM_Data!AM20</f>
        <v>255.39925581200001</v>
      </c>
      <c r="AN20" s="10">
        <f>'24MS_Data'!AN20-MTOM_Data!AN20</f>
        <v>634.99500232611479</v>
      </c>
      <c r="AO20" s="11">
        <f>'24MS_Data'!AO20-MTOM_Data!AO20</f>
        <v>574260.11747813399</v>
      </c>
      <c r="AP20" s="12">
        <f>'24MS_Data'!AP20-MTOM_Data!AP20</f>
        <v>68.44042435210001</v>
      </c>
      <c r="AQ20" s="11">
        <f>'24MS_Data'!AQ20-MTOM_Data!AQ20</f>
        <v>447.49999999999949</v>
      </c>
      <c r="AR20" s="11">
        <f>'24MS_Data'!AR20-MTOM_Data!AR20</f>
        <v>355216.46126106312</v>
      </c>
      <c r="AS20" s="11">
        <f>'24MS_Data'!AS20-MTOM_Data!AS20</f>
        <v>23084.1087247</v>
      </c>
      <c r="AT20" s="13">
        <f>'24MS_Data'!AT20-MTOM_Data!AT20</f>
        <v>16775.329300589445</v>
      </c>
      <c r="AU20" s="11">
        <f>'24MS_Data'!AU20-MTOM_Data!AU20</f>
        <v>54828.666666610472</v>
      </c>
      <c r="AV20" s="13">
        <f>'24MS_Data'!AV20-MTOM_Data!AV20</f>
        <v>166352.25227133188</v>
      </c>
    </row>
    <row r="21" x14ac:dyDescent="0.25">
      <c r="A21" s="49">
        <f t="shared" si="0"/>
        <v>44561</v>
      </c>
      <c r="B21" s="10">
        <f>'24MS_Data'!B21-MTOM_Data!B21</f>
        <v>6485.6911020669222</v>
      </c>
      <c r="C21" s="11">
        <f>'24MS_Data'!C21-MTOM_Data!C21</f>
        <v>31.99</v>
      </c>
      <c r="D21" s="11">
        <f>'24MS_Data'!D21-MTOM_Data!D21</f>
        <v>69.170000000000215</v>
      </c>
      <c r="E21" s="11">
        <f>'24MS_Data'!E21-MTOM_Data!E21</f>
        <v>0</v>
      </c>
      <c r="F21" s="10">
        <f>'24MS_Data'!F21-MTOM_Data!F21</f>
        <v>6026.469614173222</v>
      </c>
      <c r="G21" s="11">
        <f>'24MS_Data'!G21-MTOM_Data!G21</f>
        <v>72.030000000076697</v>
      </c>
      <c r="H21" s="11">
        <f>'24MS_Data'!H21-MTOM_Data!H21</f>
        <v>34.849999999999987</v>
      </c>
      <c r="I21" s="11">
        <f>'24MS_Data'!I21-MTOM_Data!I21</f>
        <v>118.05999999999993</v>
      </c>
      <c r="J21" s="12">
        <f>'24MS_Data'!J21-MTOM_Data!J21</f>
        <v>0</v>
      </c>
      <c r="K21" s="11">
        <f>'24MS_Data'!K21-MTOM_Data!K21</f>
        <v>9280.3153822178392</v>
      </c>
      <c r="L21" s="11">
        <f>'24MS_Data'!L21-MTOM_Data!L21</f>
        <v>4.6799999999999979</v>
      </c>
      <c r="M21" s="11">
        <f>'24MS_Data'!M21-MTOM_Data!M21</f>
        <v>5.200000000000002</v>
      </c>
      <c r="N21" s="10">
        <f>'24MS_Data'!N21-MTOM_Data!N21</f>
        <v>7491.3918575787329</v>
      </c>
      <c r="O21" s="11">
        <f>'24MS_Data'!O21-MTOM_Data!O21</f>
        <v>26.160000000000817</v>
      </c>
      <c r="P21" s="11">
        <f>'24MS_Data'!P21-MTOM_Data!P21</f>
        <v>25.639999999999979</v>
      </c>
      <c r="Q21" s="11">
        <f>'24MS_Data'!Q21-MTOM_Data!Q21</f>
        <v>60.249999999999993</v>
      </c>
      <c r="R21" s="12">
        <f>'24MS_Data'!R21-MTOM_Data!R21</f>
        <v>0</v>
      </c>
      <c r="S21" s="11">
        <f>'24MS_Data'!S21-MTOM_Data!S21</f>
        <v>6749.6333542978937</v>
      </c>
      <c r="T21" s="11">
        <f>'24MS_Data'!T21-MTOM_Data!T21</f>
        <v>1090.3010752695329</v>
      </c>
      <c r="U21" s="11">
        <f>'24MS_Data'!U21-MTOM_Data!U21</f>
        <v>0</v>
      </c>
      <c r="V21" s="10">
        <f>'24MS_Data'!V21-MTOM_Data!V21</f>
        <v>7645.8921851705945</v>
      </c>
      <c r="W21" s="11">
        <f>'24MS_Data'!W21-MTOM_Data!W21</f>
        <v>6.3400000000000283</v>
      </c>
      <c r="X21" s="12">
        <f>'24MS_Data'!X21-MTOM_Data!X21</f>
        <v>1.8399999999999976</v>
      </c>
      <c r="Y21" s="11">
        <f>'24MS_Data'!Y21-MTOM_Data!Y21</f>
        <v>6061.2852983923822</v>
      </c>
      <c r="Z21" s="11">
        <f>'24MS_Data'!Z21-MTOM_Data!Z21</f>
        <v>20.522999999996735</v>
      </c>
      <c r="AA21" s="11">
        <f>'24MS_Data'!AA21-MTOM_Data!AA21</f>
        <v>25.070000000000011</v>
      </c>
      <c r="AB21" s="11">
        <f>'24MS_Data'!AB21-MTOM_Data!AB21</f>
        <v>30.679999999999978</v>
      </c>
      <c r="AC21" s="11">
        <f>'24MS_Data'!AC21-MTOM_Data!AC21</f>
        <v>0</v>
      </c>
      <c r="AD21" s="10">
        <f>'24MS_Data'!AD21-MTOM_Data!AD21</f>
        <v>3587.0189411745368</v>
      </c>
      <c r="AE21" s="11">
        <f>'24MS_Data'!AE21-MTOM_Data!AE21</f>
        <v>10552.795363311154</v>
      </c>
      <c r="AF21" s="11">
        <f>'24MS_Data'!AF21-MTOM_Data!AF21</f>
        <v>486.00699999923626</v>
      </c>
      <c r="AG21" s="11">
        <f>'24MS_Data'!AG21-MTOM_Data!AG21</f>
        <v>362.53</v>
      </c>
      <c r="AH21" s="11">
        <f>'24MS_Data'!AH21-MTOM_Data!AH21</f>
        <v>23.160614236931874</v>
      </c>
      <c r="AI21" s="11">
        <f>'24MS_Data'!AI21-MTOM_Data!AI21</f>
        <v>720.00000000000307</v>
      </c>
      <c r="AJ21" s="12">
        <f>'24MS_Data'!AJ21-MTOM_Data!AJ21</f>
        <v>0</v>
      </c>
      <c r="AK21" s="11">
        <f>'24MS_Data'!AK21-MTOM_Data!AK21</f>
        <v>1085.303377805117</v>
      </c>
      <c r="AL21" s="11">
        <f>'24MS_Data'!AL21-MTOM_Data!AL21</f>
        <v>491365.91085901984</v>
      </c>
      <c r="AM21" s="11">
        <f>'24MS_Data'!AM21-MTOM_Data!AM21</f>
        <v>192.95569201500001</v>
      </c>
      <c r="AN21" s="10">
        <f>'24MS_Data'!AN21-MTOM_Data!AN21</f>
        <v>639.50562092519613</v>
      </c>
      <c r="AO21" s="11">
        <f>'24MS_Data'!AO21-MTOM_Data!AO21</f>
        <v>351651.72350422869</v>
      </c>
      <c r="AP21" s="12">
        <f>'24MS_Data'!AP21-MTOM_Data!AP21</f>
        <v>43.498707859200003</v>
      </c>
      <c r="AQ21" s="11">
        <f>'24MS_Data'!AQ21-MTOM_Data!AQ21</f>
        <v>446.49999999999949</v>
      </c>
      <c r="AR21" s="11">
        <f>'24MS_Data'!AR21-MTOM_Data!AR21</f>
        <v>236803.44934673468</v>
      </c>
      <c r="AS21" s="11">
        <f>'24MS_Data'!AS21-MTOM_Data!AS21</f>
        <v>14671.669389999999</v>
      </c>
      <c r="AT21" s="13">
        <f>'24MS_Data'!AT21-MTOM_Data!AT21</f>
        <v>12222.665272745455</v>
      </c>
      <c r="AU21" s="11">
        <f>'24MS_Data'!AU21-MTOM_Data!AU21</f>
        <v>56309.666666665056</v>
      </c>
      <c r="AV21" s="13">
        <f>'24MS_Data'!AV21-MTOM_Data!AV21</f>
        <v>88260.64446012897</v>
      </c>
    </row>
    <row r="22" x14ac:dyDescent="0.25">
      <c r="A22" s="49">
        <f t="shared" si="0"/>
        <v>44592</v>
      </c>
      <c r="B22" s="10">
        <f>'24MS_Data'!B22-MTOM_Data!B22</f>
        <v>6478.8655121719094</v>
      </c>
      <c r="C22" s="11">
        <f>'24MS_Data'!C22-MTOM_Data!C22</f>
        <v>30.310000000000013</v>
      </c>
      <c r="D22" s="11">
        <f>'24MS_Data'!D22-MTOM_Data!D22</f>
        <v>69.170000000000215</v>
      </c>
      <c r="E22" s="11">
        <f>'24MS_Data'!E22-MTOM_Data!E22</f>
        <v>0</v>
      </c>
      <c r="F22" s="10">
        <f>'24MS_Data'!F22-MTOM_Data!F22</f>
        <v>6025.4222110564242</v>
      </c>
      <c r="G22" s="11">
        <f>'24MS_Data'!G22-MTOM_Data!G22</f>
        <v>79.199999999946698</v>
      </c>
      <c r="H22" s="11">
        <f>'24MS_Data'!H22-MTOM_Data!H22</f>
        <v>40.340000000000011</v>
      </c>
      <c r="I22" s="11">
        <f>'24MS_Data'!I22-MTOM_Data!I22</f>
        <v>118.05999999999993</v>
      </c>
      <c r="J22" s="12">
        <f>'24MS_Data'!J22-MTOM_Data!J22</f>
        <v>0</v>
      </c>
      <c r="K22" s="11">
        <f>'24MS_Data'!K22-MTOM_Data!K22</f>
        <v>9279.3559864829294</v>
      </c>
      <c r="L22" s="11">
        <f>'24MS_Data'!L22-MTOM_Data!L22</f>
        <v>4.3500000000000014</v>
      </c>
      <c r="M22" s="11">
        <f>'24MS_Data'!M22-MTOM_Data!M22</f>
        <v>5.200000000000002</v>
      </c>
      <c r="N22" s="10">
        <f>'24MS_Data'!N22-MTOM_Data!N22</f>
        <v>7487.5783341535353</v>
      </c>
      <c r="O22" s="11">
        <f>'24MS_Data'!O22-MTOM_Data!O22</f>
        <v>25.159999999993815</v>
      </c>
      <c r="P22" s="11">
        <f>'24MS_Data'!P22-MTOM_Data!P22</f>
        <v>24.309999999999974</v>
      </c>
      <c r="Q22" s="11">
        <f>'24MS_Data'!Q22-MTOM_Data!Q22</f>
        <v>54.54999999999999</v>
      </c>
      <c r="R22" s="12">
        <f>'24MS_Data'!R22-MTOM_Data!R22</f>
        <v>0</v>
      </c>
      <c r="S22" s="11">
        <f>'24MS_Data'!S22-MTOM_Data!S22</f>
        <v>6749.6333542978937</v>
      </c>
      <c r="T22" s="11">
        <f>'24MS_Data'!T22-MTOM_Data!T22</f>
        <v>1000.0389784962963</v>
      </c>
      <c r="U22" s="11">
        <f>'24MS_Data'!U22-MTOM_Data!U22</f>
        <v>0</v>
      </c>
      <c r="V22" s="10">
        <f>'24MS_Data'!V22-MTOM_Data!V22</f>
        <v>7647.390822637788</v>
      </c>
      <c r="W22" s="11">
        <f>'24MS_Data'!W22-MTOM_Data!W22</f>
        <v>5.389999999999997</v>
      </c>
      <c r="X22" s="12">
        <f>'24MS_Data'!X22-MTOM_Data!X22</f>
        <v>1.8399999999999976</v>
      </c>
      <c r="Y22" s="11">
        <f>'24MS_Data'!Y22-MTOM_Data!Y22</f>
        <v>6060.2725927165293</v>
      </c>
      <c r="Z22" s="11">
        <f>'24MS_Data'!Z22-MTOM_Data!Z22</f>
        <v>18.369999999991862</v>
      </c>
      <c r="AA22" s="11">
        <f>'24MS_Data'!AA22-MTOM_Data!AA22</f>
        <v>21.919999999999973</v>
      </c>
      <c r="AB22" s="11">
        <f>'24MS_Data'!AB22-MTOM_Data!AB22</f>
        <v>30.679999999999978</v>
      </c>
      <c r="AC22" s="11">
        <f>'24MS_Data'!AC22-MTOM_Data!AC22</f>
        <v>0</v>
      </c>
      <c r="AD22" s="10">
        <f>'24MS_Data'!AD22-MTOM_Data!AD22</f>
        <v>3582.9292508530143</v>
      </c>
      <c r="AE22" s="11">
        <f>'24MS_Data'!AE22-MTOM_Data!AE22</f>
        <v>10192.562541493962</v>
      </c>
      <c r="AF22" s="11">
        <f>'24MS_Data'!AF22-MTOM_Data!AF22</f>
        <v>477.90000000071967</v>
      </c>
      <c r="AG22" s="11">
        <f>'24MS_Data'!AG22-MTOM_Data!AG22</f>
        <v>361.18000000000006</v>
      </c>
      <c r="AH22" s="11">
        <f>'24MS_Data'!AH22-MTOM_Data!AH22</f>
        <v>6.9514482179796682</v>
      </c>
      <c r="AI22" s="11">
        <f>'24MS_Data'!AI22-MTOM_Data!AI22</f>
        <v>860.0000000000025</v>
      </c>
      <c r="AJ22" s="12">
        <f>'24MS_Data'!AJ22-MTOM_Data!AJ22</f>
        <v>0</v>
      </c>
      <c r="AK22" s="11">
        <f>'24MS_Data'!AK22-MTOM_Data!AK22</f>
        <v>1089.6326745964554</v>
      </c>
      <c r="AL22" s="11">
        <f>'24MS_Data'!AL22-MTOM_Data!AL22</f>
        <v>519253.52898151847</v>
      </c>
      <c r="AM22" s="11">
        <f>'24MS_Data'!AM22-MTOM_Data!AM22</f>
        <v>206.10374752300001</v>
      </c>
      <c r="AN22" s="10">
        <f>'24MS_Data'!AN22-MTOM_Data!AN22</f>
        <v>641.79754691929065</v>
      </c>
      <c r="AO22" s="11">
        <f>'24MS_Data'!AO22-MTOM_Data!AO22</f>
        <v>426696.64632032567</v>
      </c>
      <c r="AP22" s="12">
        <f>'24MS_Data'!AP22-MTOM_Data!AP22</f>
        <v>53.869948010800002</v>
      </c>
      <c r="AQ22" s="11">
        <f>'24MS_Data'!AQ22-MTOM_Data!AQ22</f>
        <v>446.49999999999949</v>
      </c>
      <c r="AR22" s="11">
        <f>'24MS_Data'!AR22-MTOM_Data!AR22</f>
        <v>255378.56996644376</v>
      </c>
      <c r="AS22" s="11">
        <f>'24MS_Data'!AS22-MTOM_Data!AS22</f>
        <v>15998.5277646</v>
      </c>
      <c r="AT22" s="13">
        <f>'24MS_Data'!AT22-MTOM_Data!AT22</f>
        <v>10785.364137203596</v>
      </c>
      <c r="AU22" s="11">
        <f>'24MS_Data'!AU22-MTOM_Data!AU22</f>
        <v>89889.33333322953</v>
      </c>
      <c r="AV22" s="13">
        <f>'24MS_Data'!AV22-MTOM_Data!AV22</f>
        <v>90587.050475676282</v>
      </c>
    </row>
    <row r="23" x14ac:dyDescent="0.25">
      <c r="A23" s="49">
        <f t="shared" si="0"/>
        <v>44620</v>
      </c>
      <c r="B23" s="10">
        <f>'24MS_Data'!B23-MTOM_Data!B23</f>
        <v>6471.4741471456618</v>
      </c>
      <c r="C23" s="11">
        <f>'24MS_Data'!C23-MTOM_Data!C23</f>
        <v>27.659999999999979</v>
      </c>
      <c r="D23" s="11">
        <f>'24MS_Data'!D23-MTOM_Data!D23</f>
        <v>62.480000000000224</v>
      </c>
      <c r="E23" s="11">
        <f>'24MS_Data'!E23-MTOM_Data!E23</f>
        <v>0</v>
      </c>
      <c r="F23" s="10">
        <f>'24MS_Data'!F23-MTOM_Data!F23</f>
        <v>6024.657730446188</v>
      </c>
      <c r="G23" s="11">
        <f>'24MS_Data'!G23-MTOM_Data!G23</f>
        <v>79.35999999999656</v>
      </c>
      <c r="H23" s="11">
        <f>'24MS_Data'!H23-MTOM_Data!H23</f>
        <v>44.54</v>
      </c>
      <c r="I23" s="11">
        <f>'24MS_Data'!I23-MTOM_Data!I23</f>
        <v>106.62999999999975</v>
      </c>
      <c r="J23" s="12">
        <f>'24MS_Data'!J23-MTOM_Data!J23</f>
        <v>0</v>
      </c>
      <c r="K23" s="11">
        <f>'24MS_Data'!K23-MTOM_Data!K23</f>
        <v>9278.3210214238734</v>
      </c>
      <c r="L23" s="11">
        <f>'24MS_Data'!L23-MTOM_Data!L23</f>
        <v>3.799999999999998</v>
      </c>
      <c r="M23" s="11">
        <f>'24MS_Data'!M23-MTOM_Data!M23</f>
        <v>4.7</v>
      </c>
      <c r="N23" s="10">
        <f>'24MS_Data'!N23-MTOM_Data!N23</f>
        <v>7485.6194742125908</v>
      </c>
      <c r="O23" s="11">
        <f>'24MS_Data'!O23-MTOM_Data!O23</f>
        <v>23.289999999980928</v>
      </c>
      <c r="P23" s="11">
        <f>'24MS_Data'!P23-MTOM_Data!P23</f>
        <v>22.389999999999986</v>
      </c>
      <c r="Q23" s="11">
        <f>'24MS_Data'!Q23-MTOM_Data!Q23</f>
        <v>37.990000000000016</v>
      </c>
      <c r="R23" s="12">
        <f>'24MS_Data'!R23-MTOM_Data!R23</f>
        <v>0</v>
      </c>
      <c r="S23" s="11">
        <f>'24MS_Data'!S23-MTOM_Data!S23</f>
        <v>6749.6333542978937</v>
      </c>
      <c r="T23" s="11">
        <f>'24MS_Data'!T23-MTOM_Data!T23</f>
        <v>800.00446428593648</v>
      </c>
      <c r="U23" s="11">
        <f>'24MS_Data'!U23-MTOM_Data!U23</f>
        <v>0</v>
      </c>
      <c r="V23" s="10">
        <f>'24MS_Data'!V23-MTOM_Data!V23</f>
        <v>7648.6530729986789</v>
      </c>
      <c r="W23" s="11">
        <f>'24MS_Data'!W23-MTOM_Data!W23</f>
        <v>4.740000000000002</v>
      </c>
      <c r="X23" s="12">
        <f>'24MS_Data'!X23-MTOM_Data!X23</f>
        <v>1.6699999999999993</v>
      </c>
      <c r="Y23" s="11">
        <f>'24MS_Data'!Y23-MTOM_Data!Y23</f>
        <v>6060.1306866141667</v>
      </c>
      <c r="Z23" s="11">
        <f>'24MS_Data'!Z23-MTOM_Data!Z23</f>
        <v>26.850000000022391</v>
      </c>
      <c r="AA23" s="11">
        <f>'24MS_Data'!AA23-MTOM_Data!AA23</f>
        <v>30.25</v>
      </c>
      <c r="AB23" s="11">
        <f>'24MS_Data'!AB23-MTOM_Data!AB23</f>
        <v>27.709999999999997</v>
      </c>
      <c r="AC23" s="11">
        <f>'24MS_Data'!AC23-MTOM_Data!AC23</f>
        <v>0</v>
      </c>
      <c r="AD23" s="10">
        <f>'24MS_Data'!AD23-MTOM_Data!AD23</f>
        <v>3579.8332974409409</v>
      </c>
      <c r="AE23" s="11">
        <f>'24MS_Data'!AE23-MTOM_Data!AE23</f>
        <v>9925.2692635033163</v>
      </c>
      <c r="AF23" s="11">
        <f>'24MS_Data'!AF23-MTOM_Data!AF23</f>
        <v>468.61600000091101</v>
      </c>
      <c r="AG23" s="11">
        <f>'24MS_Data'!AG23-MTOM_Data!AG23</f>
        <v>392.98999999999978</v>
      </c>
      <c r="AH23" s="11">
        <f>'24MS_Data'!AH23-MTOM_Data!AH23</f>
        <v>7.2927339954314032</v>
      </c>
      <c r="AI23" s="11">
        <f>'24MS_Data'!AI23-MTOM_Data!AI23</f>
        <v>750</v>
      </c>
      <c r="AJ23" s="12">
        <f>'24MS_Data'!AJ23-MTOM_Data!AJ23</f>
        <v>0</v>
      </c>
      <c r="AK23" s="11">
        <f>'24MS_Data'!AK23-MTOM_Data!AK23</f>
        <v>1092.7962117454058</v>
      </c>
      <c r="AL23" s="11">
        <f>'24MS_Data'!AL23-MTOM_Data!AL23</f>
        <v>519648.6734695264</v>
      </c>
      <c r="AM23" s="11">
        <f>'24MS_Data'!AM23-MTOM_Data!AM23</f>
        <v>205.537510287</v>
      </c>
      <c r="AN23" s="10">
        <f>'24MS_Data'!AN23-MTOM_Data!AN23</f>
        <v>641.79754691929065</v>
      </c>
      <c r="AO23" s="11">
        <f>'24MS_Data'!AO23-MTOM_Data!AO23</f>
        <v>499582.75942547305</v>
      </c>
      <c r="AP23" s="12">
        <f>'24MS_Data'!AP23-MTOM_Data!AP23</f>
        <v>63.1786547938</v>
      </c>
      <c r="AQ23" s="11">
        <f>'24MS_Data'!AQ23-MTOM_Data!AQ23</f>
        <v>446.49999999999949</v>
      </c>
      <c r="AR23" s="11">
        <f>'24MS_Data'!AR23-MTOM_Data!AR23</f>
        <v>393022.47991883603</v>
      </c>
      <c r="AS23" s="11">
        <f>'24MS_Data'!AS23-MTOM_Data!AS23</f>
        <v>25500.472584399999</v>
      </c>
      <c r="AT23" s="13">
        <f>'24MS_Data'!AT23-MTOM_Data!AT23</f>
        <v>10867.254290097748</v>
      </c>
      <c r="AU23" s="11">
        <f>'24MS_Data'!AU23-MTOM_Data!AU23</f>
        <v>16677.333333329174</v>
      </c>
      <c r="AV23" s="13">
        <f>'24MS_Data'!AV23-MTOM_Data!AV23</f>
        <v>85379.611040820208</v>
      </c>
    </row>
    <row r="24" x14ac:dyDescent="0.25">
      <c r="A24" s="49">
        <f t="shared" si="0"/>
        <v>44651</v>
      </c>
      <c r="B24" s="10">
        <f>'24MS_Data'!B24-MTOM_Data!B24</f>
        <v>6467.4682020013061</v>
      </c>
      <c r="C24" s="11">
        <f>'24MS_Data'!C24-MTOM_Data!C24</f>
        <v>52.600000000000023</v>
      </c>
      <c r="D24" s="11">
        <f>'24MS_Data'!D24-MTOM_Data!D24</f>
        <v>68.98000000000026</v>
      </c>
      <c r="E24" s="11">
        <f>'24MS_Data'!E24-MTOM_Data!E24</f>
        <v>0</v>
      </c>
      <c r="F24" s="10">
        <f>'24MS_Data'!F24-MTOM_Data!F24</f>
        <v>6025.8263222440883</v>
      </c>
      <c r="G24" s="11">
        <f>'24MS_Data'!G24-MTOM_Data!G24</f>
        <v>118.69999999989764</v>
      </c>
      <c r="H24" s="11">
        <f>'24MS_Data'!H24-MTOM_Data!H24</f>
        <v>102.32000000000023</v>
      </c>
      <c r="I24" s="11">
        <f>'24MS_Data'!I24-MTOM_Data!I24</f>
        <v>70.71000000000015</v>
      </c>
      <c r="J24" s="12">
        <f>'24MS_Data'!J24-MTOM_Data!J24</f>
        <v>0</v>
      </c>
      <c r="K24" s="11">
        <f>'24MS_Data'!K24-MTOM_Data!K24</f>
        <v>9277.4318153871282</v>
      </c>
      <c r="L24" s="11">
        <f>'24MS_Data'!L24-MTOM_Data!L24</f>
        <v>4.4399999999999995</v>
      </c>
      <c r="M24" s="11">
        <f>'24MS_Data'!M24-MTOM_Data!M24</f>
        <v>5.200000000000002</v>
      </c>
      <c r="N24" s="10">
        <f>'24MS_Data'!N24-MTOM_Data!N24</f>
        <v>7484.7229499999921</v>
      </c>
      <c r="O24" s="11">
        <f>'24MS_Data'!O24-MTOM_Data!O24</f>
        <v>36.77999999999269</v>
      </c>
      <c r="P24" s="11">
        <f>'24MS_Data'!P24-MTOM_Data!P24</f>
        <v>36.020000000000017</v>
      </c>
      <c r="Q24" s="11">
        <f>'24MS_Data'!Q24-MTOM_Data!Q24</f>
        <v>43.120000000000005</v>
      </c>
      <c r="R24" s="12">
        <f>'24MS_Data'!R24-MTOM_Data!R24</f>
        <v>0</v>
      </c>
      <c r="S24" s="11">
        <f>'24MS_Data'!S24-MTOM_Data!S24</f>
        <v>6749.6333542978937</v>
      </c>
      <c r="T24" s="11">
        <f>'24MS_Data'!T24-MTOM_Data!T24</f>
        <v>869.28091397910998</v>
      </c>
      <c r="U24" s="11">
        <f>'24MS_Data'!U24-MTOM_Data!U24</f>
        <v>0</v>
      </c>
      <c r="V24" s="10">
        <f>'24MS_Data'!V24-MTOM_Data!V24</f>
        <v>7651.3857329396242</v>
      </c>
      <c r="W24" s="11">
        <f>'24MS_Data'!W24-MTOM_Data!W24</f>
        <v>8.6000000000000245</v>
      </c>
      <c r="X24" s="12">
        <f>'24MS_Data'!X24-MTOM_Data!X24</f>
        <v>1.8399999999999976</v>
      </c>
      <c r="Y24" s="11">
        <f>'24MS_Data'!Y24-MTOM_Data!Y24</f>
        <v>6063.1480830380515</v>
      </c>
      <c r="Z24" s="11">
        <f>'24MS_Data'!Z24-MTOM_Data!Z24</f>
        <v>76.887000000036252</v>
      </c>
      <c r="AA24" s="11">
        <f>'24MS_Data'!AA24-MTOM_Data!AA24</f>
        <v>92.340000000000032</v>
      </c>
      <c r="AB24" s="11">
        <f>'24MS_Data'!AB24-MTOM_Data!AB24</f>
        <v>30.679999999999978</v>
      </c>
      <c r="AC24" s="11">
        <f>'24MS_Data'!AC24-MTOM_Data!AC24</f>
        <v>0</v>
      </c>
      <c r="AD24" s="10">
        <f>'24MS_Data'!AD24-MTOM_Data!AD24</f>
        <v>3577.4520645669254</v>
      </c>
      <c r="AE24" s="11">
        <f>'24MS_Data'!AE24-MTOM_Data!AE24</f>
        <v>9722.8333172258499</v>
      </c>
      <c r="AF24" s="11">
        <f>'24MS_Data'!AF24-MTOM_Data!AF24</f>
        <v>593.58699999989858</v>
      </c>
      <c r="AG24" s="11">
        <f>'24MS_Data'!AG24-MTOM_Data!AG24</f>
        <v>665.37999999999977</v>
      </c>
      <c r="AH24" s="11">
        <f>'24MS_Data'!AH24-MTOM_Data!AH24</f>
        <v>12.217817155106184</v>
      </c>
      <c r="AI24" s="11">
        <f>'24MS_Data'!AI24-MTOM_Data!AI24</f>
        <v>800.00000000000273</v>
      </c>
      <c r="AJ24" s="12">
        <f>'24MS_Data'!AJ24-MTOM_Data!AJ24</f>
        <v>0</v>
      </c>
      <c r="AK24" s="11">
        <f>'24MS_Data'!AK24-MTOM_Data!AK24</f>
        <v>1091.4510094783452</v>
      </c>
      <c r="AL24" s="11">
        <f>'24MS_Data'!AL24-MTOM_Data!AL24</f>
        <v>968485.29717838683</v>
      </c>
      <c r="AM24" s="11">
        <f>'24MS_Data'!AM24-MTOM_Data!AM24</f>
        <v>394.98795719500004</v>
      </c>
      <c r="AN24" s="10">
        <f>'24MS_Data'!AN24-MTOM_Data!AN24</f>
        <v>643.05459791010435</v>
      </c>
      <c r="AO24" s="11">
        <f>'24MS_Data'!AO24-MTOM_Data!AO24</f>
        <v>909562.72295623028</v>
      </c>
      <c r="AP24" s="12">
        <f>'24MS_Data'!AP24-MTOM_Data!AP24</f>
        <v>113.69809792400001</v>
      </c>
      <c r="AQ24" s="11">
        <f>'24MS_Data'!AQ24-MTOM_Data!AQ24</f>
        <v>446.69999999999948</v>
      </c>
      <c r="AR24" s="11">
        <f>'24MS_Data'!AR24-MTOM_Data!AR24</f>
        <v>637996.26349307562</v>
      </c>
      <c r="AS24" s="11">
        <f>'24MS_Data'!AS24-MTOM_Data!AS24</f>
        <v>41310.336655799998</v>
      </c>
      <c r="AT24" s="13">
        <f>'24MS_Data'!AT24-MTOM_Data!AT24</f>
        <v>15159.16030344908</v>
      </c>
      <c r="AU24" s="11">
        <f>'24MS_Data'!AU24-MTOM_Data!AU24</f>
        <v>85417.333333356306</v>
      </c>
      <c r="AV24" s="13">
        <f>'24MS_Data'!AV24-MTOM_Data!AV24</f>
        <v>169737.30838272985</v>
      </c>
    </row>
    <row r="25" x14ac:dyDescent="0.25">
      <c r="A25" s="49">
        <f t="shared" si="0"/>
        <v>44681</v>
      </c>
      <c r="B25" s="10">
        <f>'24MS_Data'!B25-MTOM_Data!B25</f>
        <v>6470.2857008530118</v>
      </c>
      <c r="C25" s="11">
        <f>'24MS_Data'!C25-MTOM_Data!C25</f>
        <v>85.429999999999851</v>
      </c>
      <c r="D25" s="11">
        <f>'24MS_Data'!D25-MTOM_Data!D25</f>
        <v>73.189999999999856</v>
      </c>
      <c r="E25" s="11">
        <f>'24MS_Data'!E25-MTOM_Data!E25</f>
        <v>0</v>
      </c>
      <c r="F25" s="10">
        <f>'24MS_Data'!F25-MTOM_Data!F25</f>
        <v>6026.7402109908071</v>
      </c>
      <c r="G25" s="11">
        <f>'24MS_Data'!G25-MTOM_Data!G25</f>
        <v>121.26000000003015</v>
      </c>
      <c r="H25" s="11">
        <f>'24MS_Data'!H25-MTOM_Data!H25</f>
        <v>133.50000000000006</v>
      </c>
      <c r="I25" s="11">
        <f>'24MS_Data'!I25-MTOM_Data!I25</f>
        <v>80.929999999999851</v>
      </c>
      <c r="J25" s="12">
        <f>'24MS_Data'!J25-MTOM_Data!J25</f>
        <v>0</v>
      </c>
      <c r="K25" s="11">
        <f>'24MS_Data'!K25-MTOM_Data!K25</f>
        <v>9275.9480958989407</v>
      </c>
      <c r="L25" s="11">
        <f>'24MS_Data'!L25-MTOM_Data!L25</f>
        <v>8.7600000000000104</v>
      </c>
      <c r="M25" s="11">
        <f>'24MS_Data'!M25-MTOM_Data!M25</f>
        <v>10.000000000000014</v>
      </c>
      <c r="N25" s="10">
        <f>'24MS_Data'!N25-MTOM_Data!N25</f>
        <v>7486.062691338575</v>
      </c>
      <c r="O25" s="11">
        <f>'24MS_Data'!O25-MTOM_Data!O25</f>
        <v>78.319999999959592</v>
      </c>
      <c r="P25" s="11">
        <f>'24MS_Data'!P25-MTOM_Data!P25</f>
        <v>77.079999999999785</v>
      </c>
      <c r="Q25" s="11">
        <f>'24MS_Data'!Q25-MTOM_Data!Q25</f>
        <v>67.490000000000265</v>
      </c>
      <c r="R25" s="12">
        <f>'24MS_Data'!R25-MTOM_Data!R25</f>
        <v>0</v>
      </c>
      <c r="S25" s="11">
        <f>'24MS_Data'!S25-MTOM_Data!S25</f>
        <v>6749.6333542978937</v>
      </c>
      <c r="T25" s="11">
        <f>'24MS_Data'!T25-MTOM_Data!T25</f>
        <v>1529.9777777776935</v>
      </c>
      <c r="U25" s="11">
        <f>'24MS_Data'!U25-MTOM_Data!U25</f>
        <v>0</v>
      </c>
      <c r="V25" s="10">
        <f>'24MS_Data'!V25-MTOM_Data!V25</f>
        <v>7659.7815265091785</v>
      </c>
      <c r="W25" s="11">
        <f>'24MS_Data'!W25-MTOM_Data!W25</f>
        <v>23.32</v>
      </c>
      <c r="X25" s="12">
        <f>'24MS_Data'!X25-MTOM_Data!X25</f>
        <v>1.7900000000000014</v>
      </c>
      <c r="Y25" s="11">
        <f>'24MS_Data'!Y25-MTOM_Data!Y25</f>
        <v>6068.6821050852959</v>
      </c>
      <c r="Z25" s="11">
        <f>'24MS_Data'!Z25-MTOM_Data!Z25</f>
        <v>128.17600000007016</v>
      </c>
      <c r="AA25" s="11">
        <f>'24MS_Data'!AA25-MTOM_Data!AA25</f>
        <v>170.41999999999993</v>
      </c>
      <c r="AB25" s="11">
        <f>'24MS_Data'!AB25-MTOM_Data!AB25</f>
        <v>29.690000000000005</v>
      </c>
      <c r="AC25" s="11">
        <f>'24MS_Data'!AC25-MTOM_Data!AC25</f>
        <v>0</v>
      </c>
      <c r="AD25" s="10">
        <f>'24MS_Data'!AD25-MTOM_Data!AD25</f>
        <v>3579.2598363517027</v>
      </c>
      <c r="AE25" s="11">
        <f>'24MS_Data'!AE25-MTOM_Data!AE25</f>
        <v>9876.2700793562944</v>
      </c>
      <c r="AF25" s="11">
        <f>'24MS_Data'!AF25-MTOM_Data!AF25</f>
        <v>895.16400000057968</v>
      </c>
      <c r="AG25" s="11">
        <f>'24MS_Data'!AG25-MTOM_Data!AG25</f>
        <v>1055.510000000002</v>
      </c>
      <c r="AH25" s="11">
        <f>'24MS_Data'!AH25-MTOM_Data!AH25</f>
        <v>19.452300648711912</v>
      </c>
      <c r="AI25" s="11">
        <f>'24MS_Data'!AI25-MTOM_Data!AI25</f>
        <v>710.0000000000025</v>
      </c>
      <c r="AJ25" s="12">
        <f>'24MS_Data'!AJ25-MTOM_Data!AJ25</f>
        <v>0</v>
      </c>
      <c r="AK25" s="11">
        <f>'24MS_Data'!AK25-MTOM_Data!AK25</f>
        <v>1088.0272570669281</v>
      </c>
      <c r="AL25" s="11">
        <f>'24MS_Data'!AL25-MTOM_Data!AL25</f>
        <v>1032745.5743541607</v>
      </c>
      <c r="AM25" s="11">
        <f>'24MS_Data'!AM25-MTOM_Data!AM25</f>
        <v>418.67281209000004</v>
      </c>
      <c r="AN25" s="10">
        <f>'24MS_Data'!AN25-MTOM_Data!AN25</f>
        <v>642.99981670275531</v>
      </c>
      <c r="AO25" s="11">
        <f>'24MS_Data'!AO25-MTOM_Data!AO25</f>
        <v>1005049.755703863</v>
      </c>
      <c r="AP25" s="12">
        <f>'24MS_Data'!AP25-MTOM_Data!AP25</f>
        <v>125.535620833</v>
      </c>
      <c r="AQ25" s="11">
        <f>'24MS_Data'!AQ25-MTOM_Data!AQ25</f>
        <v>448.69999999999948</v>
      </c>
      <c r="AR25" s="11">
        <f>'24MS_Data'!AR25-MTOM_Data!AR25</f>
        <v>707787.93271899887</v>
      </c>
      <c r="AS25" s="11">
        <f>'24MS_Data'!AS25-MTOM_Data!AS25</f>
        <v>46584.9643058</v>
      </c>
      <c r="AT25" s="13">
        <f>'24MS_Data'!AT25-MTOM_Data!AT25</f>
        <v>21471.598089383337</v>
      </c>
      <c r="AU25" s="11">
        <f>'24MS_Data'!AU25-MTOM_Data!AU25</f>
        <v>82479.333333396804</v>
      </c>
      <c r="AV25" s="13">
        <f>'24MS_Data'!AV25-MTOM_Data!AV25</f>
        <v>163488.55740483722</v>
      </c>
    </row>
    <row r="26" x14ac:dyDescent="0.25">
      <c r="A26" s="49">
        <f t="shared" si="0"/>
        <v>44712</v>
      </c>
      <c r="B26" s="10">
        <f>'24MS_Data'!B26-MTOM_Data!B26</f>
        <v>6484.4875434055048</v>
      </c>
      <c r="C26" s="11">
        <f>'24MS_Data'!C26-MTOM_Data!C26</f>
        <v>163.75000000000014</v>
      </c>
      <c r="D26" s="11">
        <f>'24MS_Data'!D26-MTOM_Data!D26</f>
        <v>90.050000000000153</v>
      </c>
      <c r="E26" s="11">
        <f>'24MS_Data'!E26-MTOM_Data!E26</f>
        <v>0</v>
      </c>
      <c r="F26" s="10">
        <f>'24MS_Data'!F26-MTOM_Data!F26</f>
        <v>6028.112285039364</v>
      </c>
      <c r="G26" s="11">
        <f>'24MS_Data'!G26-MTOM_Data!G26</f>
        <v>171.45999999999788</v>
      </c>
      <c r="H26" s="11">
        <f>'24MS_Data'!H26-MTOM_Data!H26</f>
        <v>245.1600000000002</v>
      </c>
      <c r="I26" s="11">
        <f>'24MS_Data'!I26-MTOM_Data!I26</f>
        <v>109.87999999999988</v>
      </c>
      <c r="J26" s="12">
        <f>'24MS_Data'!J26-MTOM_Data!J26</f>
        <v>0</v>
      </c>
      <c r="K26" s="11">
        <f>'24MS_Data'!K26-MTOM_Data!K26</f>
        <v>9290.7437164041894</v>
      </c>
      <c r="L26" s="11">
        <f>'24MS_Data'!L26-MTOM_Data!L26</f>
        <v>28.279999999999987</v>
      </c>
      <c r="M26" s="11">
        <f>'24MS_Data'!M26-MTOM_Data!M26</f>
        <v>14.000000000000002</v>
      </c>
      <c r="N26" s="10">
        <f>'24MS_Data'!N26-MTOM_Data!N26</f>
        <v>7489.0587445866058</v>
      </c>
      <c r="O26" s="11">
        <f>'24MS_Data'!O26-MTOM_Data!O26</f>
        <v>206.79000000009987</v>
      </c>
      <c r="P26" s="11">
        <f>'24MS_Data'!P26-MTOM_Data!P26</f>
        <v>221.07000000000025</v>
      </c>
      <c r="Q26" s="11">
        <f>'24MS_Data'!Q26-MTOM_Data!Q26</f>
        <v>182.82000000000005</v>
      </c>
      <c r="R26" s="12">
        <f>'24MS_Data'!R26-MTOM_Data!R26</f>
        <v>0</v>
      </c>
      <c r="S26" s="11">
        <f>'24MS_Data'!S26-MTOM_Data!S26</f>
        <v>6749.6333542978937</v>
      </c>
      <c r="T26" s="11">
        <f>'24MS_Data'!T26-MTOM_Data!T26</f>
        <v>3951.6908602250069</v>
      </c>
      <c r="U26" s="11">
        <f>'24MS_Data'!U26-MTOM_Data!U26</f>
        <v>106.84644628092607</v>
      </c>
      <c r="V26" s="10">
        <f>'24MS_Data'!V26-MTOM_Data!V26</f>
        <v>7664.4713983923812</v>
      </c>
      <c r="W26" s="11">
        <f>'24MS_Data'!W26-MTOM_Data!W26</f>
        <v>71.429999999999836</v>
      </c>
      <c r="X26" s="12">
        <f>'24MS_Data'!X26-MTOM_Data!X26</f>
        <v>58.469999999999992</v>
      </c>
      <c r="Y26" s="11">
        <f>'24MS_Data'!Y26-MTOM_Data!Y26</f>
        <v>6068.7046839894947</v>
      </c>
      <c r="Z26" s="11">
        <f>'24MS_Data'!Z26-MTOM_Data!Z26</f>
        <v>227.41700000077134</v>
      </c>
      <c r="AA26" s="11">
        <f>'24MS_Data'!AA26-MTOM_Data!AA26</f>
        <v>277.11000000000013</v>
      </c>
      <c r="AB26" s="11">
        <f>'24MS_Data'!AB26-MTOM_Data!AB26</f>
        <v>186.48000000000022</v>
      </c>
      <c r="AC26" s="11">
        <f>'24MS_Data'!AC26-MTOM_Data!AC26</f>
        <v>0</v>
      </c>
      <c r="AD26" s="10">
        <f>'24MS_Data'!AD26-MTOM_Data!AD26</f>
        <v>3594.0292250984212</v>
      </c>
      <c r="AE26" s="11">
        <f>'24MS_Data'!AE26-MTOM_Data!AE26</f>
        <v>11189.202011552341</v>
      </c>
      <c r="AF26" s="11">
        <f>'24MS_Data'!AF26-MTOM_Data!AF26</f>
        <v>2152.3819999992629</v>
      </c>
      <c r="AG26" s="11">
        <f>'24MS_Data'!AG26-MTOM_Data!AG26</f>
        <v>2342.9899999999989</v>
      </c>
      <c r="AH26" s="11">
        <f>'24MS_Data'!AH26-MTOM_Data!AH26</f>
        <v>24.415510679004832</v>
      </c>
      <c r="AI26" s="11">
        <f>'24MS_Data'!AI26-MTOM_Data!AI26</f>
        <v>710.00000000000011</v>
      </c>
      <c r="AJ26" s="12">
        <f>'24MS_Data'!AJ26-MTOM_Data!AJ26</f>
        <v>0</v>
      </c>
      <c r="AK26" s="11">
        <f>'24MS_Data'!AK26-MTOM_Data!AK26</f>
        <v>1084.6320435662719</v>
      </c>
      <c r="AL26" s="11">
        <f>'24MS_Data'!AL26-MTOM_Data!AL26</f>
        <v>993319.98986239638</v>
      </c>
      <c r="AM26" s="11">
        <f>'24MS_Data'!AM26-MTOM_Data!AM26</f>
        <v>387.79785361699999</v>
      </c>
      <c r="AN26" s="10">
        <f>'24MS_Data'!AN26-MTOM_Data!AN26</f>
        <v>642.99981670275531</v>
      </c>
      <c r="AO26" s="11">
        <f>'24MS_Data'!AO26-MTOM_Data!AO26</f>
        <v>961319.6767090651</v>
      </c>
      <c r="AP26" s="12">
        <f>'24MS_Data'!AP26-MTOM_Data!AP26</f>
        <v>120.41079449099999</v>
      </c>
      <c r="AQ26" s="11">
        <f>'24MS_Data'!AQ26-MTOM_Data!AQ26</f>
        <v>448.69999999999948</v>
      </c>
      <c r="AR26" s="11">
        <f>'24MS_Data'!AR26-MTOM_Data!AR26</f>
        <v>705133.50328584423</v>
      </c>
      <c r="AS26" s="11">
        <f>'24MS_Data'!AS26-MTOM_Data!AS26</f>
        <v>46882.453238000002</v>
      </c>
      <c r="AT26" s="13">
        <f>'24MS_Data'!AT26-MTOM_Data!AT26</f>
        <v>27987.468254985997</v>
      </c>
      <c r="AU26" s="11">
        <f>'24MS_Data'!AU26-MTOM_Data!AU26</f>
        <v>74209.33333340635</v>
      </c>
      <c r="AV26" s="13">
        <f>'24MS_Data'!AV26-MTOM_Data!AV26</f>
        <v>171820.81318884052</v>
      </c>
    </row>
    <row r="27" x14ac:dyDescent="0.25">
      <c r="A27" s="49">
        <f t="shared" si="0"/>
        <v>44742</v>
      </c>
      <c r="B27" s="10">
        <f>'24MS_Data'!B27-MTOM_Data!B27</f>
        <v>6499.4682370406754</v>
      </c>
      <c r="C27" s="11">
        <f>'24MS_Data'!C27-MTOM_Data!C27</f>
        <v>299.22999999999979</v>
      </c>
      <c r="D27" s="11">
        <f>'24MS_Data'!D27-MTOM_Data!D27</f>
        <v>194.77999999999975</v>
      </c>
      <c r="E27" s="11">
        <f>'24MS_Data'!E27-MTOM_Data!E27</f>
        <v>91.650710859324391</v>
      </c>
      <c r="F27" s="10">
        <f>'24MS_Data'!F27-MTOM_Data!F27</f>
        <v>6029.9829840223038</v>
      </c>
      <c r="G27" s="11">
        <f>'24MS_Data'!G27-MTOM_Data!G27</f>
        <v>285.26000000078648</v>
      </c>
      <c r="H27" s="11">
        <f>'24MS_Data'!H27-MTOM_Data!H27</f>
        <v>389.70999999999987</v>
      </c>
      <c r="I27" s="11">
        <f>'24MS_Data'!I27-MTOM_Data!I27</f>
        <v>200.33000000000013</v>
      </c>
      <c r="J27" s="12">
        <f>'24MS_Data'!J27-MTOM_Data!J27</f>
        <v>0</v>
      </c>
      <c r="K27" s="11">
        <f>'24MS_Data'!K27-MTOM_Data!K27</f>
        <v>9307.0885081036649</v>
      </c>
      <c r="L27" s="11">
        <f>'24MS_Data'!L27-MTOM_Data!L27</f>
        <v>41.72000000000002</v>
      </c>
      <c r="M27" s="11">
        <f>'24MS_Data'!M27-MTOM_Data!M27</f>
        <v>19.999999999999975</v>
      </c>
      <c r="N27" s="10">
        <f>'24MS_Data'!N27-MTOM_Data!N27</f>
        <v>7512.8251702755824</v>
      </c>
      <c r="O27" s="11">
        <f>'24MS_Data'!O27-MTOM_Data!O27</f>
        <v>239.33000000091434</v>
      </c>
      <c r="P27" s="11">
        <f>'24MS_Data'!P27-MTOM_Data!P27</f>
        <v>261.04999999999984</v>
      </c>
      <c r="Q27" s="11">
        <f>'24MS_Data'!Q27-MTOM_Data!Q27</f>
        <v>41.409999999999975</v>
      </c>
      <c r="R27" s="12">
        <f>'24MS_Data'!R27-MTOM_Data!R27</f>
        <v>0</v>
      </c>
      <c r="S27" s="11">
        <f>'24MS_Data'!S27-MTOM_Data!S27</f>
        <v>6749.6333542978937</v>
      </c>
      <c r="T27" s="11">
        <f>'24MS_Data'!T27-MTOM_Data!T27</f>
        <v>1600.0569444445296</v>
      </c>
      <c r="U27" s="11">
        <f>'24MS_Data'!U27-MTOM_Data!U27</f>
        <v>0</v>
      </c>
      <c r="V27" s="10">
        <f>'24MS_Data'!V27-MTOM_Data!V27</f>
        <v>7664.2914492125901</v>
      </c>
      <c r="W27" s="11">
        <f>'24MS_Data'!W27-MTOM_Data!W27</f>
        <v>70.349999999999724</v>
      </c>
      <c r="X27" s="12">
        <f>'24MS_Data'!X27-MTOM_Data!X27</f>
        <v>70.250000000000071</v>
      </c>
      <c r="Y27" s="11">
        <f>'24MS_Data'!Y27-MTOM_Data!Y27</f>
        <v>6058.0208617125918</v>
      </c>
      <c r="Z27" s="11">
        <f>'24MS_Data'!Z27-MTOM_Data!Z27</f>
        <v>194.68999999990234</v>
      </c>
      <c r="AA27" s="11">
        <f>'24MS_Data'!AA27-MTOM_Data!AA27</f>
        <v>223.57000000000002</v>
      </c>
      <c r="AB27" s="11">
        <f>'24MS_Data'!AB27-MTOM_Data!AB27</f>
        <v>276.47000000000008</v>
      </c>
      <c r="AC27" s="11">
        <f>'24MS_Data'!AC27-MTOM_Data!AC27</f>
        <v>0</v>
      </c>
      <c r="AD27" s="10">
        <f>'24MS_Data'!AD27-MTOM_Data!AD27</f>
        <v>3609.408005150915</v>
      </c>
      <c r="AE27" s="11">
        <f>'24MS_Data'!AE27-MTOM_Data!AE27</f>
        <v>12670.808412935283</v>
      </c>
      <c r="AF27" s="11">
        <f>'24MS_Data'!AF27-MTOM_Data!AF27</f>
        <v>2392.4750000076974</v>
      </c>
      <c r="AG27" s="11">
        <f>'24MS_Data'!AG27-MTOM_Data!AG27</f>
        <v>2666.0499999999984</v>
      </c>
      <c r="AH27" s="11">
        <f>'24MS_Data'!AH27-MTOM_Data!AH27</f>
        <v>42.340083408717369</v>
      </c>
      <c r="AI27" s="11">
        <f>'24MS_Data'!AI27-MTOM_Data!AI27</f>
        <v>750.00000000000114</v>
      </c>
      <c r="AJ27" s="12">
        <f>'24MS_Data'!AJ27-MTOM_Data!AJ27</f>
        <v>0</v>
      </c>
      <c r="AK27" s="11">
        <f>'24MS_Data'!AK27-MTOM_Data!AK27</f>
        <v>1081.8303308464556</v>
      </c>
      <c r="AL27" s="11">
        <f>'24MS_Data'!AL27-MTOM_Data!AL27</f>
        <v>947276.73982303648</v>
      </c>
      <c r="AM27" s="11">
        <f>'24MS_Data'!AM27-MTOM_Data!AM27</f>
        <v>369.65797399899998</v>
      </c>
      <c r="AN27" s="10">
        <f>'24MS_Data'!AN27-MTOM_Data!AN27</f>
        <v>642.99981670275531</v>
      </c>
      <c r="AO27" s="11">
        <f>'24MS_Data'!AO27-MTOM_Data!AO27</f>
        <v>907066.82483705017</v>
      </c>
      <c r="AP27" s="12">
        <f>'24MS_Data'!AP27-MTOM_Data!AP27</f>
        <v>113.727418937</v>
      </c>
      <c r="AQ27" s="11">
        <f>'24MS_Data'!AQ27-MTOM_Data!AQ27</f>
        <v>448.69999999999948</v>
      </c>
      <c r="AR27" s="11">
        <f>'24MS_Data'!AR27-MTOM_Data!AR27</f>
        <v>717551.92434777715</v>
      </c>
      <c r="AS27" s="11">
        <f>'24MS_Data'!AS27-MTOM_Data!AS27</f>
        <v>47778.873962400001</v>
      </c>
      <c r="AT27" s="13">
        <f>'24MS_Data'!AT27-MTOM_Data!AT27</f>
        <v>28081.426430512434</v>
      </c>
      <c r="AU27" s="11">
        <f>'24MS_Data'!AU27-MTOM_Data!AU27</f>
        <v>71633.333333232411</v>
      </c>
      <c r="AV27" s="13">
        <f>'24MS_Data'!AV27-MTOM_Data!AV27</f>
        <v>99959.736082482385</v>
      </c>
    </row>
    <row r="28" x14ac:dyDescent="0.25">
      <c r="A28" s="49">
        <f t="shared" si="0"/>
        <v>44773</v>
      </c>
      <c r="B28" s="10">
        <f>'24MS_Data'!B28-MTOM_Data!B28</f>
        <v>6503.4768365813579</v>
      </c>
      <c r="C28" s="11">
        <f>'24MS_Data'!C28-MTOM_Data!C28</f>
        <v>177.52000000000007</v>
      </c>
      <c r="D28" s="11">
        <f>'24MS_Data'!D28-MTOM_Data!D28</f>
        <v>144.09999999999988</v>
      </c>
      <c r="E28" s="11">
        <f>'24MS_Data'!E28-MTOM_Data!E28</f>
        <v>42.107000243907386</v>
      </c>
      <c r="F28" s="10">
        <f>'24MS_Data'!F28-MTOM_Data!F28</f>
        <v>6032.2605505905449</v>
      </c>
      <c r="G28" s="11">
        <f>'24MS_Data'!G28-MTOM_Data!G28</f>
        <v>176.75000000009791</v>
      </c>
      <c r="H28" s="11">
        <f>'24MS_Data'!H28-MTOM_Data!H28</f>
        <v>210.1699999999999</v>
      </c>
      <c r="I28" s="11">
        <f>'24MS_Data'!I28-MTOM_Data!I28</f>
        <v>70.610000000000227</v>
      </c>
      <c r="J28" s="12">
        <f>'24MS_Data'!J28-MTOM_Data!J28</f>
        <v>0</v>
      </c>
      <c r="K28" s="11">
        <f>'24MS_Data'!K28-MTOM_Data!K28</f>
        <v>9304.843153477681</v>
      </c>
      <c r="L28" s="11">
        <f>'24MS_Data'!L28-MTOM_Data!L28</f>
        <v>20.140000000000033</v>
      </c>
      <c r="M28" s="11">
        <f>'24MS_Data'!M28-MTOM_Data!M28</f>
        <v>23.499999999999993</v>
      </c>
      <c r="N28" s="10">
        <f>'24MS_Data'!N28-MTOM_Data!N28</f>
        <v>7516.0487762795201</v>
      </c>
      <c r="O28" s="11">
        <f>'24MS_Data'!O28-MTOM_Data!O28</f>
        <v>120.21000000001895</v>
      </c>
      <c r="P28" s="11">
        <f>'24MS_Data'!P28-MTOM_Data!P28</f>
        <v>116.84999999999992</v>
      </c>
      <c r="Q28" s="11">
        <f>'24MS_Data'!Q28-MTOM_Data!Q28</f>
        <v>89.899999999999707</v>
      </c>
      <c r="R28" s="12">
        <f>'24MS_Data'!R28-MTOM_Data!R28</f>
        <v>0</v>
      </c>
      <c r="S28" s="11">
        <f>'24MS_Data'!S28-MTOM_Data!S28</f>
        <v>6749.6333542978937</v>
      </c>
      <c r="T28" s="11">
        <f>'24MS_Data'!T28-MTOM_Data!T28</f>
        <v>1800.0376344094866</v>
      </c>
      <c r="U28" s="11">
        <f>'24MS_Data'!U28-MTOM_Data!U28</f>
        <v>0</v>
      </c>
      <c r="V28" s="10">
        <f>'24MS_Data'!V28-MTOM_Data!V28</f>
        <v>7659.3394388451361</v>
      </c>
      <c r="W28" s="11">
        <f>'24MS_Data'!W28-MTOM_Data!W28</f>
        <v>29.009999999999987</v>
      </c>
      <c r="X28" s="12">
        <f>'24MS_Data'!X28-MTOM_Data!X28</f>
        <v>41.54</v>
      </c>
      <c r="Y28" s="11">
        <f>'24MS_Data'!Y28-MTOM_Data!Y28</f>
        <v>6055.2104718175788</v>
      </c>
      <c r="Z28" s="11">
        <f>'24MS_Data'!Z28-MTOM_Data!Z28</f>
        <v>73.706999999974897</v>
      </c>
      <c r="AA28" s="11">
        <f>'24MS_Data'!AA28-MTOM_Data!AA28</f>
        <v>65.989999999999853</v>
      </c>
      <c r="AB28" s="11">
        <f>'24MS_Data'!AB28-MTOM_Data!AB28</f>
        <v>46.560000000000024</v>
      </c>
      <c r="AC28" s="11">
        <f>'24MS_Data'!AC28-MTOM_Data!AC28</f>
        <v>0</v>
      </c>
      <c r="AD28" s="10">
        <f>'24MS_Data'!AD28-MTOM_Data!AD28</f>
        <v>3609.9950997703377</v>
      </c>
      <c r="AE28" s="11">
        <f>'24MS_Data'!AE28-MTOM_Data!AE28</f>
        <v>12729.802400268474</v>
      </c>
      <c r="AF28" s="11">
        <f>'24MS_Data'!AF28-MTOM_Data!AF28</f>
        <v>967.36300000038307</v>
      </c>
      <c r="AG28" s="11">
        <f>'24MS_Data'!AG28-MTOM_Data!AG28</f>
        <v>1090.8399999999995</v>
      </c>
      <c r="AH28" s="11">
        <f>'24MS_Data'!AH28-MTOM_Data!AH28</f>
        <v>53.649495169766155</v>
      </c>
      <c r="AI28" s="11">
        <f>'24MS_Data'!AI28-MTOM_Data!AI28</f>
        <v>849.99999999999932</v>
      </c>
      <c r="AJ28" s="12">
        <f>'24MS_Data'!AJ28-MTOM_Data!AJ28</f>
        <v>0</v>
      </c>
      <c r="AK28" s="11">
        <f>'24MS_Data'!AK28-MTOM_Data!AK28</f>
        <v>1081.8374736778203</v>
      </c>
      <c r="AL28" s="11">
        <f>'24MS_Data'!AL28-MTOM_Data!AL28</f>
        <v>827005.15076903673</v>
      </c>
      <c r="AM28" s="11">
        <f>'24MS_Data'!AM28-MTOM_Data!AM28</f>
        <v>322.77862821000002</v>
      </c>
      <c r="AN28" s="10">
        <f>'24MS_Data'!AN28-MTOM_Data!AN28</f>
        <v>641.99704448162663</v>
      </c>
      <c r="AO28" s="11">
        <f>'24MS_Data'!AO28-MTOM_Data!AO28</f>
        <v>817131.15663320292</v>
      </c>
      <c r="AP28" s="12">
        <f>'24MS_Data'!AP28-MTOM_Data!AP28</f>
        <v>102.595634643</v>
      </c>
      <c r="AQ28" s="11">
        <f>'24MS_Data'!AQ28-MTOM_Data!AQ28</f>
        <v>447.99999999999949</v>
      </c>
      <c r="AR28" s="11">
        <f>'24MS_Data'!AR28-MTOM_Data!AR28</f>
        <v>692601.83763852564</v>
      </c>
      <c r="AS28" s="11">
        <f>'24MS_Data'!AS28-MTOM_Data!AS28</f>
        <v>45846.450231000003</v>
      </c>
      <c r="AT28" s="13">
        <f>'24MS_Data'!AT28-MTOM_Data!AT28</f>
        <v>28576.215354325712</v>
      </c>
      <c r="AU28" s="11">
        <f>'24MS_Data'!AU28-MTOM_Data!AU28</f>
        <v>74202.333333231058</v>
      </c>
      <c r="AV28" s="13">
        <f>'24MS_Data'!AV28-MTOM_Data!AV28</f>
        <v>52052.351344924296</v>
      </c>
    </row>
    <row r="29" x14ac:dyDescent="0.25">
      <c r="A29" s="49">
        <f t="shared" si="0"/>
        <v>44804</v>
      </c>
      <c r="B29" s="10">
        <f>'24MS_Data'!B29-MTOM_Data!B29</f>
        <v>6502.3766524934317</v>
      </c>
      <c r="C29" s="11">
        <f>'24MS_Data'!C29-MTOM_Data!C29</f>
        <v>76.510000000000318</v>
      </c>
      <c r="D29" s="11">
        <f>'24MS_Data'!D29-MTOM_Data!D29</f>
        <v>82.81</v>
      </c>
      <c r="E29" s="11">
        <f>'24MS_Data'!E29-MTOM_Data!E29</f>
        <v>0</v>
      </c>
      <c r="F29" s="10">
        <f>'24MS_Data'!F29-MTOM_Data!F29</f>
        <v>6032.1730217847708</v>
      </c>
      <c r="G29" s="11">
        <f>'24MS_Data'!G29-MTOM_Data!G29</f>
        <v>94.929999999998245</v>
      </c>
      <c r="H29" s="11">
        <f>'24MS_Data'!H29-MTOM_Data!H29</f>
        <v>88.629999999999896</v>
      </c>
      <c r="I29" s="11">
        <f>'24MS_Data'!I29-MTOM_Data!I29</f>
        <v>85.490000000000222</v>
      </c>
      <c r="J29" s="12">
        <f>'24MS_Data'!J29-MTOM_Data!J29</f>
        <v>0</v>
      </c>
      <c r="K29" s="11">
        <f>'24MS_Data'!K29-MTOM_Data!K29</f>
        <v>9298.6231093503848</v>
      </c>
      <c r="L29" s="11">
        <f>'24MS_Data'!L29-MTOM_Data!L29</f>
        <v>10.299999999999986</v>
      </c>
      <c r="M29" s="11">
        <f>'24MS_Data'!M29-MTOM_Data!M29</f>
        <v>18.999999999999979</v>
      </c>
      <c r="N29" s="10">
        <f>'24MS_Data'!N29-MTOM_Data!N29</f>
        <v>7512.8904072178402</v>
      </c>
      <c r="O29" s="11">
        <f>'24MS_Data'!O29-MTOM_Data!O29</f>
        <v>72.160000000105853</v>
      </c>
      <c r="P29" s="11">
        <f>'24MS_Data'!P29-MTOM_Data!P29</f>
        <v>63.460000000000093</v>
      </c>
      <c r="Q29" s="11">
        <f>'24MS_Data'!Q29-MTOM_Data!Q29</f>
        <v>99.13</v>
      </c>
      <c r="R29" s="12">
        <f>'24MS_Data'!R29-MTOM_Data!R29</f>
        <v>0</v>
      </c>
      <c r="S29" s="11">
        <f>'24MS_Data'!S29-MTOM_Data!S29</f>
        <v>6749.6333542978937</v>
      </c>
      <c r="T29" s="11">
        <f>'24MS_Data'!T29-MTOM_Data!T29</f>
        <v>1800.0376344094866</v>
      </c>
      <c r="U29" s="11">
        <f>'24MS_Data'!U29-MTOM_Data!U29</f>
        <v>0</v>
      </c>
      <c r="V29" s="10">
        <f>'24MS_Data'!V29-MTOM_Data!V29</f>
        <v>7652.0303634186275</v>
      </c>
      <c r="W29" s="11">
        <f>'24MS_Data'!W29-MTOM_Data!W29</f>
        <v>19.799999999999976</v>
      </c>
      <c r="X29" s="12">
        <f>'24MS_Data'!X29-MTOM_Data!X29</f>
        <v>37.810000000000016</v>
      </c>
      <c r="Y29" s="11">
        <f>'24MS_Data'!Y29-MTOM_Data!Y29</f>
        <v>6053.4421297572117</v>
      </c>
      <c r="Z29" s="11">
        <f>'24MS_Data'!Z29-MTOM_Data!Z29</f>
        <v>61.096000000101327</v>
      </c>
      <c r="AA29" s="11">
        <f>'24MS_Data'!AA29-MTOM_Data!AA29</f>
        <v>45.090000000000032</v>
      </c>
      <c r="AB29" s="11">
        <f>'24MS_Data'!AB29-MTOM_Data!AB29</f>
        <v>30.679999999999978</v>
      </c>
      <c r="AC29" s="11">
        <f>'24MS_Data'!AC29-MTOM_Data!AC29</f>
        <v>0</v>
      </c>
      <c r="AD29" s="10">
        <f>'24MS_Data'!AD29-MTOM_Data!AD29</f>
        <v>3606.4237946850353</v>
      </c>
      <c r="AE29" s="11">
        <f>'24MS_Data'!AE29-MTOM_Data!AE29</f>
        <v>12373.70006067235</v>
      </c>
      <c r="AF29" s="11">
        <f>'24MS_Data'!AF29-MTOM_Data!AF29</f>
        <v>568.49099999983218</v>
      </c>
      <c r="AG29" s="11">
        <f>'24MS_Data'!AG29-MTOM_Data!AG29</f>
        <v>499.88000000000005</v>
      </c>
      <c r="AH29" s="11">
        <f>'24MS_Data'!AH29-MTOM_Data!AH29</f>
        <v>53.081517536878621</v>
      </c>
      <c r="AI29" s="11">
        <f>'24MS_Data'!AI29-MTOM_Data!AI29</f>
        <v>900.00000000000216</v>
      </c>
      <c r="AJ29" s="12">
        <f>'24MS_Data'!AJ29-MTOM_Data!AJ29</f>
        <v>0</v>
      </c>
      <c r="AK29" s="11">
        <f>'24MS_Data'!AK29-MTOM_Data!AK29</f>
        <v>1083.0145074081354</v>
      </c>
      <c r="AL29" s="11">
        <f>'24MS_Data'!AL29-MTOM_Data!AL29</f>
        <v>785459.91160276835</v>
      </c>
      <c r="AM29" s="11">
        <f>'24MS_Data'!AM29-MTOM_Data!AM29</f>
        <v>305.56174307800006</v>
      </c>
      <c r="AN29" s="10">
        <f>'24MS_Data'!AN29-MTOM_Data!AN29</f>
        <v>641.99704448162663</v>
      </c>
      <c r="AO29" s="11">
        <f>'24MS_Data'!AO29-MTOM_Data!AO29</f>
        <v>750589.58740324376</v>
      </c>
      <c r="AP29" s="12">
        <f>'24MS_Data'!AP29-MTOM_Data!AP29</f>
        <v>94.174334312100015</v>
      </c>
      <c r="AQ29" s="11">
        <f>'24MS_Data'!AQ29-MTOM_Data!AQ29</f>
        <v>447.50000000328043</v>
      </c>
      <c r="AR29" s="11">
        <f>'24MS_Data'!AR29-MTOM_Data!AR29</f>
        <v>622801.01914086193</v>
      </c>
      <c r="AS29" s="11">
        <f>'24MS_Data'!AS29-MTOM_Data!AS29</f>
        <v>40817.0760734</v>
      </c>
      <c r="AT29" s="13">
        <f>'24MS_Data'!AT29-MTOM_Data!AT29</f>
        <v>29056.350250718766</v>
      </c>
      <c r="AU29" s="11">
        <f>'24MS_Data'!AU29-MTOM_Data!AU29</f>
        <v>74202.333333231058</v>
      </c>
      <c r="AV29" s="13">
        <f>'24MS_Data'!AV29-MTOM_Data!AV29</f>
        <v>52052.351344924296</v>
      </c>
    </row>
    <row r="30" x14ac:dyDescent="0.25">
      <c r="A30" s="49">
        <f t="shared" si="0"/>
        <v>44834</v>
      </c>
      <c r="B30" s="10">
        <f>'24MS_Data'!B30-MTOM_Data!B30</f>
        <v>6498.7735421587859</v>
      </c>
      <c r="C30" s="11">
        <f>'24MS_Data'!C30-MTOM_Data!C30</f>
        <v>45.86999999999999</v>
      </c>
      <c r="D30" s="11">
        <f>'24MS_Data'!D30-MTOM_Data!D30</f>
        <v>71.400000000000119</v>
      </c>
      <c r="E30" s="11">
        <f>'24MS_Data'!E30-MTOM_Data!E30</f>
        <v>0</v>
      </c>
      <c r="F30" s="10">
        <f>'24MS_Data'!F30-MTOM_Data!F30</f>
        <v>6031.6825273950071</v>
      </c>
      <c r="G30" s="11">
        <f>'24MS_Data'!G30-MTOM_Data!G30</f>
        <v>80.640000000045333</v>
      </c>
      <c r="H30" s="11">
        <f>'24MS_Data'!H30-MTOM_Data!H30</f>
        <v>55.110000000000021</v>
      </c>
      <c r="I30" s="11">
        <f>'24MS_Data'!I30-MTOM_Data!I30</f>
        <v>89.159999999999712</v>
      </c>
      <c r="J30" s="12">
        <f>'24MS_Data'!J30-MTOM_Data!J30</f>
        <v>0</v>
      </c>
      <c r="K30" s="11">
        <f>'24MS_Data'!K30-MTOM_Data!K30</f>
        <v>9290.3246827755811</v>
      </c>
      <c r="L30" s="11">
        <f>'24MS_Data'!L30-MTOM_Data!L30</f>
        <v>7.3700000000000259</v>
      </c>
      <c r="M30" s="11">
        <f>'24MS_Data'!M30-MTOM_Data!M30</f>
        <v>17.499999999999968</v>
      </c>
      <c r="N30" s="10">
        <f>'24MS_Data'!N30-MTOM_Data!N30</f>
        <v>7506.9951460629845</v>
      </c>
      <c r="O30" s="11">
        <f>'24MS_Data'!O30-MTOM_Data!O30</f>
        <v>48.169999999925992</v>
      </c>
      <c r="P30" s="11">
        <f>'24MS_Data'!P30-MTOM_Data!P30</f>
        <v>38.040000000000006</v>
      </c>
      <c r="Q30" s="11">
        <f>'24MS_Data'!Q30-MTOM_Data!Q30</f>
        <v>98.340000000000302</v>
      </c>
      <c r="R30" s="12">
        <f>'24MS_Data'!R30-MTOM_Data!R30</f>
        <v>0</v>
      </c>
      <c r="S30" s="11">
        <f>'24MS_Data'!S30-MTOM_Data!S30</f>
        <v>6749.6333542978937</v>
      </c>
      <c r="T30" s="11">
        <f>'24MS_Data'!T30-MTOM_Data!T30</f>
        <v>1800.0430555569121</v>
      </c>
      <c r="U30" s="11">
        <f>'24MS_Data'!U30-MTOM_Data!U30</f>
        <v>59.140626963623845</v>
      </c>
      <c r="V30" s="10">
        <f>'24MS_Data'!V30-MTOM_Data!V30</f>
        <v>7647.1127360892306</v>
      </c>
      <c r="W30" s="11">
        <f>'24MS_Data'!W30-MTOM_Data!W30</f>
        <v>17.470000000000006</v>
      </c>
      <c r="X30" s="12">
        <f>'24MS_Data'!X30-MTOM_Data!X30</f>
        <v>28.880000000000003</v>
      </c>
      <c r="Y30" s="11">
        <f>'24MS_Data'!Y30-MTOM_Data!Y30</f>
        <v>6052.9658217519618</v>
      </c>
      <c r="Z30" s="11">
        <f>'24MS_Data'!Z30-MTOM_Data!Z30</f>
        <v>52.847000000041305</v>
      </c>
      <c r="AA30" s="11">
        <f>'24MS_Data'!AA30-MTOM_Data!AA30</f>
        <v>43.189999999999991</v>
      </c>
      <c r="AB30" s="11">
        <f>'24MS_Data'!AB30-MTOM_Data!AB30</f>
        <v>29.690000000000005</v>
      </c>
      <c r="AC30" s="11">
        <f>'24MS_Data'!AC30-MTOM_Data!AC30</f>
        <v>0</v>
      </c>
      <c r="AD30" s="10">
        <f>'24MS_Data'!AD30-MTOM_Data!AD30</f>
        <v>3604.5290588254552</v>
      </c>
      <c r="AE30" s="11">
        <f>'24MS_Data'!AE30-MTOM_Data!AE30</f>
        <v>12187.492627122561</v>
      </c>
      <c r="AF30" s="11">
        <f>'24MS_Data'!AF30-MTOM_Data!AF30</f>
        <v>517.08300000079703</v>
      </c>
      <c r="AG30" s="11">
        <f>'24MS_Data'!AG30-MTOM_Data!AG30</f>
        <v>408.20999999999992</v>
      </c>
      <c r="AH30" s="11">
        <f>'24MS_Data'!AH30-MTOM_Data!AH30</f>
        <v>48.18702343568971</v>
      </c>
      <c r="AI30" s="11">
        <f>'24MS_Data'!AI30-MTOM_Data!AI30</f>
        <v>669.99999999999784</v>
      </c>
      <c r="AJ30" s="12">
        <f>'24MS_Data'!AJ30-MTOM_Data!AJ30</f>
        <v>0</v>
      </c>
      <c r="AK30" s="11">
        <f>'24MS_Data'!AK30-MTOM_Data!AK30</f>
        <v>1082.4227507283454</v>
      </c>
      <c r="AL30" s="11">
        <f>'24MS_Data'!AL30-MTOM_Data!AL30</f>
        <v>713643.93821490288</v>
      </c>
      <c r="AM30" s="11">
        <f>'24MS_Data'!AM30-MTOM_Data!AM30</f>
        <v>276.26602822899997</v>
      </c>
      <c r="AN30" s="10">
        <f>'24MS_Data'!AN30-MTOM_Data!AN30</f>
        <v>640.00753110564244</v>
      </c>
      <c r="AO30" s="11">
        <f>'24MS_Data'!AO30-MTOM_Data!AO30</f>
        <v>734656.72853159986</v>
      </c>
      <c r="AP30" s="12">
        <f>'24MS_Data'!AP30-MTOM_Data!AP30</f>
        <v>91.483107602100006</v>
      </c>
      <c r="AQ30" s="11">
        <f>'24MS_Data'!AQ30-MTOM_Data!AQ30</f>
        <v>447.49999999999949</v>
      </c>
      <c r="AR30" s="11">
        <f>'24MS_Data'!AR30-MTOM_Data!AR30</f>
        <v>529610.88653639157</v>
      </c>
      <c r="AS30" s="11">
        <f>'24MS_Data'!AS30-MTOM_Data!AS30</f>
        <v>34460.645736300001</v>
      </c>
      <c r="AT30" s="13">
        <f>'24MS_Data'!AT30-MTOM_Data!AT30</f>
        <v>25083.3848328764</v>
      </c>
      <c r="AU30" s="11">
        <f>'24MS_Data'!AU30-MTOM_Data!AU30</f>
        <v>56163.333333281174</v>
      </c>
      <c r="AV30" s="13">
        <f>'24MS_Data'!AV30-MTOM_Data!AV30</f>
        <v>140577.05829921638</v>
      </c>
    </row>
    <row r="31" x14ac:dyDescent="0.25">
      <c r="A31" s="49">
        <f t="shared" si="0"/>
        <v>44865</v>
      </c>
      <c r="B31" s="10">
        <f>'24MS_Data'!B31-MTOM_Data!B31</f>
        <v>0</v>
      </c>
      <c r="C31" s="11">
        <f>'24MS_Data'!C31-MTOM_Data!C31</f>
        <v>0</v>
      </c>
      <c r="D31" s="11">
        <f>'24MS_Data'!D31-MTOM_Data!D31</f>
        <v>0</v>
      </c>
      <c r="E31" s="11">
        <f>'24MS_Data'!E31-MTOM_Data!E31</f>
        <v>0</v>
      </c>
      <c r="F31" s="10">
        <f>'24MS_Data'!F31-MTOM_Data!F31</f>
        <v>0</v>
      </c>
      <c r="G31" s="11">
        <f>'24MS_Data'!G31-MTOM_Data!G31</f>
        <v>0</v>
      </c>
      <c r="H31" s="11">
        <f>'24MS_Data'!H31-MTOM_Data!H31</f>
        <v>0</v>
      </c>
      <c r="I31" s="11">
        <f>'24MS_Data'!I31-MTOM_Data!I31</f>
        <v>0</v>
      </c>
      <c r="J31" s="12">
        <f>'24MS_Data'!J31-MTOM_Data!J31</f>
        <v>0</v>
      </c>
      <c r="K31" s="11">
        <f>'24MS_Data'!K31-MTOM_Data!K31</f>
        <v>0</v>
      </c>
      <c r="L31" s="11">
        <f>'24MS_Data'!L31-MTOM_Data!L31</f>
        <v>0</v>
      </c>
      <c r="M31" s="11">
        <f>'24MS_Data'!M31-MTOM_Data!M31</f>
        <v>0</v>
      </c>
      <c r="N31" s="10">
        <f>'24MS_Data'!N31-MTOM_Data!N31</f>
        <v>0</v>
      </c>
      <c r="O31" s="11">
        <f>'24MS_Data'!O31-MTOM_Data!O31</f>
        <v>0</v>
      </c>
      <c r="P31" s="11">
        <f>'24MS_Data'!P31-MTOM_Data!P31</f>
        <v>0</v>
      </c>
      <c r="Q31" s="11">
        <f>'24MS_Data'!Q31-MTOM_Data!Q31</f>
        <v>0</v>
      </c>
      <c r="R31" s="12">
        <f>'24MS_Data'!R31-MTOM_Data!R31</f>
        <v>0</v>
      </c>
      <c r="S31" s="11">
        <f>'24MS_Data'!S31-MTOM_Data!S31</f>
        <v>0</v>
      </c>
      <c r="T31" s="11">
        <f>'24MS_Data'!T31-MTOM_Data!T31</f>
        <v>0</v>
      </c>
      <c r="U31" s="11">
        <f>'24MS_Data'!U31-MTOM_Data!U31</f>
        <v>0</v>
      </c>
      <c r="V31" s="10">
        <f>'24MS_Data'!V31-MTOM_Data!V31</f>
        <v>0</v>
      </c>
      <c r="W31" s="11">
        <f>'24MS_Data'!W31-MTOM_Data!W31</f>
        <v>0</v>
      </c>
      <c r="X31" s="12">
        <f>'24MS_Data'!X31-MTOM_Data!X31</f>
        <v>0</v>
      </c>
      <c r="Y31" s="11">
        <f>'24MS_Data'!Y31-MTOM_Data!Y31</f>
        <v>0</v>
      </c>
      <c r="Z31" s="11">
        <f>'24MS_Data'!Z31-MTOM_Data!Z31</f>
        <v>0</v>
      </c>
      <c r="AA31" s="11">
        <f>'24MS_Data'!AA31-MTOM_Data!AA31</f>
        <v>0</v>
      </c>
      <c r="AB31" s="11">
        <f>'24MS_Data'!AB31-MTOM_Data!AB31</f>
        <v>0</v>
      </c>
      <c r="AC31" s="11">
        <f>'24MS_Data'!AC31-MTOM_Data!AC31</f>
        <v>0</v>
      </c>
      <c r="AD31" s="10">
        <f>'24MS_Data'!AD31-MTOM_Data!AD31</f>
        <v>0</v>
      </c>
      <c r="AE31" s="11">
        <f>'24MS_Data'!AE31-MTOM_Data!AE31</f>
        <v>0</v>
      </c>
      <c r="AF31" s="11">
        <f>'24MS_Data'!AF31-MTOM_Data!AF31</f>
        <v>0</v>
      </c>
      <c r="AG31" s="11">
        <f>'24MS_Data'!AG31-MTOM_Data!AG31</f>
        <v>0</v>
      </c>
      <c r="AH31" s="11">
        <f>'24MS_Data'!AH31-MTOM_Data!AH31</f>
        <v>0</v>
      </c>
      <c r="AI31" s="11">
        <f>'24MS_Data'!AI31-MTOM_Data!AI31</f>
        <v>0</v>
      </c>
      <c r="AJ31" s="12">
        <f>'24MS_Data'!AJ31-MTOM_Data!AJ31</f>
        <v>0</v>
      </c>
      <c r="AK31" s="11">
        <f>'24MS_Data'!AK31-MTOM_Data!AK31</f>
        <v>0</v>
      </c>
      <c r="AL31" s="11">
        <f>'24MS_Data'!AL31-MTOM_Data!AL31</f>
        <v>0</v>
      </c>
      <c r="AM31" s="11">
        <f>'24MS_Data'!AM31-MTOM_Data!AM31</f>
        <v>0</v>
      </c>
      <c r="AN31" s="10">
        <f>'24MS_Data'!AN31-MTOM_Data!AN31</f>
        <v>0</v>
      </c>
      <c r="AO31" s="11">
        <f>'24MS_Data'!AO31-MTOM_Data!AO31</f>
        <v>0</v>
      </c>
      <c r="AP31" s="12">
        <f>'24MS_Data'!AP31-MTOM_Data!AP31</f>
        <v>0</v>
      </c>
      <c r="AQ31" s="11">
        <f>'24MS_Data'!AQ31-MTOM_Data!AQ31</f>
        <v>0</v>
      </c>
      <c r="AR31" s="11">
        <f>'24MS_Data'!AR31-MTOM_Data!AR31</f>
        <v>0</v>
      </c>
      <c r="AS31" s="11">
        <f>'24MS_Data'!AS31-MTOM_Data!AS31</f>
        <v>0</v>
      </c>
      <c r="AT31" s="13">
        <f>'24MS_Data'!AT31-MTOM_Data!AT31</f>
        <v>0</v>
      </c>
      <c r="AU31" s="11">
        <f>'24MS_Data'!AU31-MTOM_Data!AU31</f>
        <v>0</v>
      </c>
      <c r="AV31" s="13">
        <f>'24MS_Data'!AV31-MTOM_Data!AV31</f>
        <v>0</v>
      </c>
    </row>
    <row r="32" x14ac:dyDescent="0.25">
      <c r="A32" s="49">
        <f t="shared" si="0"/>
        <v>44895</v>
      </c>
      <c r="B32" s="10">
        <f>'24MS_Data'!B32-MTOM_Data!B32</f>
        <v>0</v>
      </c>
      <c r="C32" s="11">
        <f>'24MS_Data'!C32-MTOM_Data!C32</f>
        <v>0</v>
      </c>
      <c r="D32" s="11">
        <f>'24MS_Data'!D32-MTOM_Data!D32</f>
        <v>0</v>
      </c>
      <c r="E32" s="11">
        <f>'24MS_Data'!E32-MTOM_Data!E32</f>
        <v>0</v>
      </c>
      <c r="F32" s="10">
        <f>'24MS_Data'!F32-MTOM_Data!F32</f>
        <v>0</v>
      </c>
      <c r="G32" s="11">
        <f>'24MS_Data'!G32-MTOM_Data!G32</f>
        <v>0</v>
      </c>
      <c r="H32" s="11">
        <f>'24MS_Data'!H32-MTOM_Data!H32</f>
        <v>0</v>
      </c>
      <c r="I32" s="11">
        <f>'24MS_Data'!I32-MTOM_Data!I32</f>
        <v>0</v>
      </c>
      <c r="J32" s="12">
        <f>'24MS_Data'!J32-MTOM_Data!J32</f>
        <v>0</v>
      </c>
      <c r="K32" s="11">
        <f>'24MS_Data'!K32-MTOM_Data!K32</f>
        <v>0</v>
      </c>
      <c r="L32" s="11">
        <f>'24MS_Data'!L32-MTOM_Data!L32</f>
        <v>0</v>
      </c>
      <c r="M32" s="11">
        <f>'24MS_Data'!M32-MTOM_Data!M32</f>
        <v>0</v>
      </c>
      <c r="N32" s="10">
        <f>'24MS_Data'!N32-MTOM_Data!N32</f>
        <v>0</v>
      </c>
      <c r="O32" s="11">
        <f>'24MS_Data'!O32-MTOM_Data!O32</f>
        <v>0</v>
      </c>
      <c r="P32" s="11">
        <f>'24MS_Data'!P32-MTOM_Data!P32</f>
        <v>0</v>
      </c>
      <c r="Q32" s="11">
        <f>'24MS_Data'!Q32-MTOM_Data!Q32</f>
        <v>0</v>
      </c>
      <c r="R32" s="12">
        <f>'24MS_Data'!R32-MTOM_Data!R32</f>
        <v>0</v>
      </c>
      <c r="S32" s="11">
        <f>'24MS_Data'!S32-MTOM_Data!S32</f>
        <v>0</v>
      </c>
      <c r="T32" s="11">
        <f>'24MS_Data'!T32-MTOM_Data!T32</f>
        <v>0</v>
      </c>
      <c r="U32" s="11">
        <f>'24MS_Data'!U32-MTOM_Data!U32</f>
        <v>0</v>
      </c>
      <c r="V32" s="10">
        <f>'24MS_Data'!V32-MTOM_Data!V32</f>
        <v>0</v>
      </c>
      <c r="W32" s="11">
        <f>'24MS_Data'!W32-MTOM_Data!W32</f>
        <v>0</v>
      </c>
      <c r="X32" s="12">
        <f>'24MS_Data'!X32-MTOM_Data!X32</f>
        <v>0</v>
      </c>
      <c r="Y32" s="11">
        <f>'24MS_Data'!Y32-MTOM_Data!Y32</f>
        <v>0</v>
      </c>
      <c r="Z32" s="11">
        <f>'24MS_Data'!Z32-MTOM_Data!Z32</f>
        <v>0</v>
      </c>
      <c r="AA32" s="11">
        <f>'24MS_Data'!AA32-MTOM_Data!AA32</f>
        <v>0</v>
      </c>
      <c r="AB32" s="11">
        <f>'24MS_Data'!AB32-MTOM_Data!AB32</f>
        <v>0</v>
      </c>
      <c r="AC32" s="11">
        <f>'24MS_Data'!AC32-MTOM_Data!AC32</f>
        <v>0</v>
      </c>
      <c r="AD32" s="10">
        <f>'24MS_Data'!AD32-MTOM_Data!AD32</f>
        <v>0</v>
      </c>
      <c r="AE32" s="11">
        <f>'24MS_Data'!AE32-MTOM_Data!AE32</f>
        <v>0</v>
      </c>
      <c r="AF32" s="11">
        <f>'24MS_Data'!AF32-MTOM_Data!AF32</f>
        <v>0</v>
      </c>
      <c r="AG32" s="11">
        <f>'24MS_Data'!AG32-MTOM_Data!AG32</f>
        <v>0</v>
      </c>
      <c r="AH32" s="11">
        <f>'24MS_Data'!AH32-MTOM_Data!AH32</f>
        <v>0</v>
      </c>
      <c r="AI32" s="11">
        <f>'24MS_Data'!AI32-MTOM_Data!AI32</f>
        <v>0</v>
      </c>
      <c r="AJ32" s="12">
        <f>'24MS_Data'!AJ32-MTOM_Data!AJ32</f>
        <v>0</v>
      </c>
      <c r="AK32" s="11">
        <f>'24MS_Data'!AK32-MTOM_Data!AK32</f>
        <v>0</v>
      </c>
      <c r="AL32" s="11">
        <f>'24MS_Data'!AL32-MTOM_Data!AL32</f>
        <v>0</v>
      </c>
      <c r="AM32" s="11">
        <f>'24MS_Data'!AM32-MTOM_Data!AM32</f>
        <v>0</v>
      </c>
      <c r="AN32" s="10">
        <f>'24MS_Data'!AN32-MTOM_Data!AN32</f>
        <v>0</v>
      </c>
      <c r="AO32" s="11">
        <f>'24MS_Data'!AO32-MTOM_Data!AO32</f>
        <v>0</v>
      </c>
      <c r="AP32" s="12">
        <f>'24MS_Data'!AP32-MTOM_Data!AP32</f>
        <v>0</v>
      </c>
      <c r="AQ32" s="11">
        <f>'24MS_Data'!AQ32-MTOM_Data!AQ32</f>
        <v>0</v>
      </c>
      <c r="AR32" s="11">
        <f>'24MS_Data'!AR32-MTOM_Data!AR32</f>
        <v>0</v>
      </c>
      <c r="AS32" s="11">
        <f>'24MS_Data'!AS32-MTOM_Data!AS32</f>
        <v>0</v>
      </c>
      <c r="AT32" s="13">
        <f>'24MS_Data'!AT32-MTOM_Data!AT32</f>
        <v>0</v>
      </c>
      <c r="AU32" s="11">
        <f>'24MS_Data'!AU32-MTOM_Data!AU32</f>
        <v>0</v>
      </c>
      <c r="AV32" s="13">
        <f>'24MS_Data'!AV32-MTOM_Data!AV32</f>
        <v>0</v>
      </c>
    </row>
    <row r="33" x14ac:dyDescent="0.25">
      <c r="A33" s="49">
        <f t="shared" si="0"/>
        <v>44926</v>
      </c>
      <c r="B33" s="10">
        <f>'24MS_Data'!B33-MTOM_Data!B33</f>
        <v>0</v>
      </c>
      <c r="C33" s="11">
        <f>'24MS_Data'!C33-MTOM_Data!C33</f>
        <v>0</v>
      </c>
      <c r="D33" s="11">
        <f>'24MS_Data'!D33-MTOM_Data!D33</f>
        <v>0</v>
      </c>
      <c r="E33" s="11">
        <f>'24MS_Data'!E33-MTOM_Data!E33</f>
        <v>0</v>
      </c>
      <c r="F33" s="10">
        <f>'24MS_Data'!F33-MTOM_Data!F33</f>
        <v>0</v>
      </c>
      <c r="G33" s="11">
        <f>'24MS_Data'!G33-MTOM_Data!G33</f>
        <v>0</v>
      </c>
      <c r="H33" s="11">
        <f>'24MS_Data'!H33-MTOM_Data!H33</f>
        <v>0</v>
      </c>
      <c r="I33" s="11">
        <f>'24MS_Data'!I33-MTOM_Data!I33</f>
        <v>0</v>
      </c>
      <c r="J33" s="12">
        <f>'24MS_Data'!J33-MTOM_Data!J33</f>
        <v>0</v>
      </c>
      <c r="K33" s="11">
        <f>'24MS_Data'!K33-MTOM_Data!K33</f>
        <v>0</v>
      </c>
      <c r="L33" s="11">
        <f>'24MS_Data'!L33-MTOM_Data!L33</f>
        <v>0</v>
      </c>
      <c r="M33" s="11">
        <f>'24MS_Data'!M33-MTOM_Data!M33</f>
        <v>0</v>
      </c>
      <c r="N33" s="10">
        <f>'24MS_Data'!N33-MTOM_Data!N33</f>
        <v>0</v>
      </c>
      <c r="O33" s="11">
        <f>'24MS_Data'!O33-MTOM_Data!O33</f>
        <v>0</v>
      </c>
      <c r="P33" s="11">
        <f>'24MS_Data'!P33-MTOM_Data!P33</f>
        <v>0</v>
      </c>
      <c r="Q33" s="11">
        <f>'24MS_Data'!Q33-MTOM_Data!Q33</f>
        <v>0</v>
      </c>
      <c r="R33" s="12">
        <f>'24MS_Data'!R33-MTOM_Data!R33</f>
        <v>0</v>
      </c>
      <c r="S33" s="11">
        <f>'24MS_Data'!S33-MTOM_Data!S33</f>
        <v>0</v>
      </c>
      <c r="T33" s="11">
        <f>'24MS_Data'!T33-MTOM_Data!T33</f>
        <v>0</v>
      </c>
      <c r="U33" s="11">
        <f>'24MS_Data'!U33-MTOM_Data!U33</f>
        <v>0</v>
      </c>
      <c r="V33" s="10">
        <f>'24MS_Data'!V33-MTOM_Data!V33</f>
        <v>0</v>
      </c>
      <c r="W33" s="11">
        <f>'24MS_Data'!W33-MTOM_Data!W33</f>
        <v>0</v>
      </c>
      <c r="X33" s="12">
        <f>'24MS_Data'!X33-MTOM_Data!X33</f>
        <v>0</v>
      </c>
      <c r="Y33" s="11">
        <f>'24MS_Data'!Y33-MTOM_Data!Y33</f>
        <v>0</v>
      </c>
      <c r="Z33" s="11">
        <f>'24MS_Data'!Z33-MTOM_Data!Z33</f>
        <v>0</v>
      </c>
      <c r="AA33" s="11">
        <f>'24MS_Data'!AA33-MTOM_Data!AA33</f>
        <v>0</v>
      </c>
      <c r="AB33" s="11">
        <f>'24MS_Data'!AB33-MTOM_Data!AB33</f>
        <v>0</v>
      </c>
      <c r="AC33" s="11">
        <f>'24MS_Data'!AC33-MTOM_Data!AC33</f>
        <v>0</v>
      </c>
      <c r="AD33" s="10">
        <f>'24MS_Data'!AD33-MTOM_Data!AD33</f>
        <v>0</v>
      </c>
      <c r="AE33" s="11">
        <f>'24MS_Data'!AE33-MTOM_Data!AE33</f>
        <v>0</v>
      </c>
      <c r="AF33" s="11">
        <f>'24MS_Data'!AF33-MTOM_Data!AF33</f>
        <v>0</v>
      </c>
      <c r="AG33" s="11">
        <f>'24MS_Data'!AG33-MTOM_Data!AG33</f>
        <v>0</v>
      </c>
      <c r="AH33" s="11">
        <f>'24MS_Data'!AH33-MTOM_Data!AH33</f>
        <v>0</v>
      </c>
      <c r="AI33" s="11">
        <f>'24MS_Data'!AI33-MTOM_Data!AI33</f>
        <v>0</v>
      </c>
      <c r="AJ33" s="12">
        <f>'24MS_Data'!AJ33-MTOM_Data!AJ33</f>
        <v>0</v>
      </c>
      <c r="AK33" s="11">
        <f>'24MS_Data'!AK33-MTOM_Data!AK33</f>
        <v>0</v>
      </c>
      <c r="AL33" s="11">
        <f>'24MS_Data'!AL33-MTOM_Data!AL33</f>
        <v>0</v>
      </c>
      <c r="AM33" s="11">
        <f>'24MS_Data'!AM33-MTOM_Data!AM33</f>
        <v>0</v>
      </c>
      <c r="AN33" s="10">
        <f>'24MS_Data'!AN33-MTOM_Data!AN33</f>
        <v>0</v>
      </c>
      <c r="AO33" s="11">
        <f>'24MS_Data'!AO33-MTOM_Data!AO33</f>
        <v>0</v>
      </c>
      <c r="AP33" s="12">
        <f>'24MS_Data'!AP33-MTOM_Data!AP33</f>
        <v>0</v>
      </c>
      <c r="AQ33" s="11">
        <f>'24MS_Data'!AQ33-MTOM_Data!AQ33</f>
        <v>0</v>
      </c>
      <c r="AR33" s="11">
        <f>'24MS_Data'!AR33-MTOM_Data!AR33</f>
        <v>0</v>
      </c>
      <c r="AS33" s="11">
        <f>'24MS_Data'!AS33-MTOM_Data!AS33</f>
        <v>0</v>
      </c>
      <c r="AT33" s="13">
        <f>'24MS_Data'!AT33-MTOM_Data!AT33</f>
        <v>0</v>
      </c>
      <c r="AU33" s="11">
        <f>'24MS_Data'!AU33-MTOM_Data!AU33</f>
        <v>0</v>
      </c>
      <c r="AV33" s="13">
        <f>'24MS_Data'!AV33-MTOM_Data!AV33</f>
        <v>0</v>
      </c>
    </row>
    <row r="34" x14ac:dyDescent="0.25">
      <c r="A34" s="49">
        <f t="shared" si="0"/>
        <v>44957</v>
      </c>
      <c r="B34" s="10">
        <f>'24MS_Data'!B34-MTOM_Data!B34</f>
        <v>0</v>
      </c>
      <c r="C34" s="11">
        <f>'24MS_Data'!C34-MTOM_Data!C34</f>
        <v>0</v>
      </c>
      <c r="D34" s="11">
        <f>'24MS_Data'!D34-MTOM_Data!D34</f>
        <v>0</v>
      </c>
      <c r="E34" s="11">
        <f>'24MS_Data'!E34-MTOM_Data!E34</f>
        <v>0</v>
      </c>
      <c r="F34" s="10">
        <f>'24MS_Data'!F34-MTOM_Data!F34</f>
        <v>0</v>
      </c>
      <c r="G34" s="11">
        <f>'24MS_Data'!G34-MTOM_Data!G34</f>
        <v>0</v>
      </c>
      <c r="H34" s="11">
        <f>'24MS_Data'!H34-MTOM_Data!H34</f>
        <v>0</v>
      </c>
      <c r="I34" s="11">
        <f>'24MS_Data'!I34-MTOM_Data!I34</f>
        <v>0</v>
      </c>
      <c r="J34" s="12">
        <f>'24MS_Data'!J34-MTOM_Data!J34</f>
        <v>0</v>
      </c>
      <c r="K34" s="11">
        <f>'24MS_Data'!K34-MTOM_Data!K34</f>
        <v>0</v>
      </c>
      <c r="L34" s="11">
        <f>'24MS_Data'!L34-MTOM_Data!L34</f>
        <v>0</v>
      </c>
      <c r="M34" s="11">
        <f>'24MS_Data'!M34-MTOM_Data!M34</f>
        <v>0</v>
      </c>
      <c r="N34" s="10">
        <f>'24MS_Data'!N34-MTOM_Data!N34</f>
        <v>0</v>
      </c>
      <c r="O34" s="11">
        <f>'24MS_Data'!O34-MTOM_Data!O34</f>
        <v>0</v>
      </c>
      <c r="P34" s="11">
        <f>'24MS_Data'!P34-MTOM_Data!P34</f>
        <v>0</v>
      </c>
      <c r="Q34" s="11">
        <f>'24MS_Data'!Q34-MTOM_Data!Q34</f>
        <v>0</v>
      </c>
      <c r="R34" s="12">
        <f>'24MS_Data'!R34-MTOM_Data!R34</f>
        <v>0</v>
      </c>
      <c r="S34" s="11">
        <f>'24MS_Data'!S34-MTOM_Data!S34</f>
        <v>0</v>
      </c>
      <c r="T34" s="11">
        <f>'24MS_Data'!T34-MTOM_Data!T34</f>
        <v>0</v>
      </c>
      <c r="U34" s="11">
        <f>'24MS_Data'!U34-MTOM_Data!U34</f>
        <v>0</v>
      </c>
      <c r="V34" s="10">
        <f>'24MS_Data'!V34-MTOM_Data!V34</f>
        <v>0</v>
      </c>
      <c r="W34" s="11">
        <f>'24MS_Data'!W34-MTOM_Data!W34</f>
        <v>0</v>
      </c>
      <c r="X34" s="12">
        <f>'24MS_Data'!X34-MTOM_Data!X34</f>
        <v>0</v>
      </c>
      <c r="Y34" s="11">
        <f>'24MS_Data'!Y34-MTOM_Data!Y34</f>
        <v>0</v>
      </c>
      <c r="Z34" s="11">
        <f>'24MS_Data'!Z34-MTOM_Data!Z34</f>
        <v>0</v>
      </c>
      <c r="AA34" s="11">
        <f>'24MS_Data'!AA34-MTOM_Data!AA34</f>
        <v>0</v>
      </c>
      <c r="AB34" s="11">
        <f>'24MS_Data'!AB34-MTOM_Data!AB34</f>
        <v>0</v>
      </c>
      <c r="AC34" s="11">
        <f>'24MS_Data'!AC34-MTOM_Data!AC34</f>
        <v>0</v>
      </c>
      <c r="AD34" s="10">
        <f>'24MS_Data'!AD34-MTOM_Data!AD34</f>
        <v>0</v>
      </c>
      <c r="AE34" s="11">
        <f>'24MS_Data'!AE34-MTOM_Data!AE34</f>
        <v>0</v>
      </c>
      <c r="AF34" s="11">
        <f>'24MS_Data'!AF34-MTOM_Data!AF34</f>
        <v>0</v>
      </c>
      <c r="AG34" s="11">
        <f>'24MS_Data'!AG34-MTOM_Data!AG34</f>
        <v>0</v>
      </c>
      <c r="AH34" s="11">
        <f>'24MS_Data'!AH34-MTOM_Data!AH34</f>
        <v>0</v>
      </c>
      <c r="AI34" s="11">
        <f>'24MS_Data'!AI34-MTOM_Data!AI34</f>
        <v>0</v>
      </c>
      <c r="AJ34" s="12">
        <f>'24MS_Data'!AJ34-MTOM_Data!AJ34</f>
        <v>0</v>
      </c>
      <c r="AK34" s="11">
        <f>'24MS_Data'!AK34-MTOM_Data!AK34</f>
        <v>0</v>
      </c>
      <c r="AL34" s="11">
        <f>'24MS_Data'!AL34-MTOM_Data!AL34</f>
        <v>0</v>
      </c>
      <c r="AM34" s="11">
        <f>'24MS_Data'!AM34-MTOM_Data!AM34</f>
        <v>0</v>
      </c>
      <c r="AN34" s="10">
        <f>'24MS_Data'!AN34-MTOM_Data!AN34</f>
        <v>0</v>
      </c>
      <c r="AO34" s="11">
        <f>'24MS_Data'!AO34-MTOM_Data!AO34</f>
        <v>0</v>
      </c>
      <c r="AP34" s="12">
        <f>'24MS_Data'!AP34-MTOM_Data!AP34</f>
        <v>0</v>
      </c>
      <c r="AQ34" s="11">
        <f>'24MS_Data'!AQ34-MTOM_Data!AQ34</f>
        <v>0</v>
      </c>
      <c r="AR34" s="11">
        <f>'24MS_Data'!AR34-MTOM_Data!AR34</f>
        <v>0</v>
      </c>
      <c r="AS34" s="11">
        <f>'24MS_Data'!AS34-MTOM_Data!AS34</f>
        <v>0</v>
      </c>
      <c r="AT34" s="13">
        <f>'24MS_Data'!AT34-MTOM_Data!AT34</f>
        <v>0</v>
      </c>
      <c r="AU34" s="11">
        <f>'24MS_Data'!AU34-MTOM_Data!AU34</f>
        <v>0</v>
      </c>
      <c r="AV34" s="13">
        <f>'24MS_Data'!AV34-MTOM_Data!AV34</f>
        <v>0</v>
      </c>
    </row>
    <row r="35" x14ac:dyDescent="0.25">
      <c r="A35" s="50">
        <f t="shared" si="0"/>
        <v>44985</v>
      </c>
      <c r="B35" s="14">
        <f>'24MS_Data'!B35-MTOM_Data!B35</f>
        <v>0</v>
      </c>
      <c r="C35" s="15">
        <f>'24MS_Data'!C35-MTOM_Data!C35</f>
        <v>0</v>
      </c>
      <c r="D35" s="15">
        <f>'24MS_Data'!D35-MTOM_Data!D35</f>
        <v>0</v>
      </c>
      <c r="E35" s="15">
        <f>'24MS_Data'!E35-MTOM_Data!E35</f>
        <v>0</v>
      </c>
      <c r="F35" s="14">
        <f>'24MS_Data'!F35-MTOM_Data!F35</f>
        <v>0</v>
      </c>
      <c r="G35" s="15">
        <f>'24MS_Data'!G35-MTOM_Data!G35</f>
        <v>0</v>
      </c>
      <c r="H35" s="15">
        <f>'24MS_Data'!H35-MTOM_Data!H35</f>
        <v>0</v>
      </c>
      <c r="I35" s="15">
        <f>'24MS_Data'!I35-MTOM_Data!I35</f>
        <v>0</v>
      </c>
      <c r="J35" s="16">
        <f>'24MS_Data'!J35-MTOM_Data!J35</f>
        <v>0</v>
      </c>
      <c r="K35" s="15">
        <f>'24MS_Data'!K35-MTOM_Data!K35</f>
        <v>0</v>
      </c>
      <c r="L35" s="15">
        <f>'24MS_Data'!L35-MTOM_Data!L35</f>
        <v>0</v>
      </c>
      <c r="M35" s="15">
        <f>'24MS_Data'!M35-MTOM_Data!M35</f>
        <v>0</v>
      </c>
      <c r="N35" s="14">
        <f>'24MS_Data'!N35-MTOM_Data!N35</f>
        <v>0</v>
      </c>
      <c r="O35" s="15">
        <f>'24MS_Data'!O35-MTOM_Data!O35</f>
        <v>0</v>
      </c>
      <c r="P35" s="15">
        <f>'24MS_Data'!P35-MTOM_Data!P35</f>
        <v>0</v>
      </c>
      <c r="Q35" s="15">
        <f>'24MS_Data'!Q35-MTOM_Data!Q35</f>
        <v>0</v>
      </c>
      <c r="R35" s="16">
        <f>'24MS_Data'!R35-MTOM_Data!R35</f>
        <v>0</v>
      </c>
      <c r="S35" s="15">
        <f>'24MS_Data'!S35-MTOM_Data!S35</f>
        <v>0</v>
      </c>
      <c r="T35" s="15">
        <f>'24MS_Data'!T35-MTOM_Data!T35</f>
        <v>0</v>
      </c>
      <c r="U35" s="15">
        <f>'24MS_Data'!U35-MTOM_Data!U35</f>
        <v>0</v>
      </c>
      <c r="V35" s="14">
        <f>'24MS_Data'!V35-MTOM_Data!V35</f>
        <v>0</v>
      </c>
      <c r="W35" s="15">
        <f>'24MS_Data'!W35-MTOM_Data!W35</f>
        <v>0</v>
      </c>
      <c r="X35" s="16">
        <f>'24MS_Data'!X35-MTOM_Data!X35</f>
        <v>0</v>
      </c>
      <c r="Y35" s="15">
        <f>'24MS_Data'!Y35-MTOM_Data!Y35</f>
        <v>0</v>
      </c>
      <c r="Z35" s="15">
        <f>'24MS_Data'!Z35-MTOM_Data!Z35</f>
        <v>0</v>
      </c>
      <c r="AA35" s="15">
        <f>'24MS_Data'!AA35-MTOM_Data!AA35</f>
        <v>0</v>
      </c>
      <c r="AB35" s="15">
        <f>'24MS_Data'!AB35-MTOM_Data!AB35</f>
        <v>0</v>
      </c>
      <c r="AC35" s="15">
        <f>'24MS_Data'!AC35-MTOM_Data!AC35</f>
        <v>0</v>
      </c>
      <c r="AD35" s="14">
        <f>'24MS_Data'!AD35-MTOM_Data!AD35</f>
        <v>0</v>
      </c>
      <c r="AE35" s="15">
        <f>'24MS_Data'!AE35-MTOM_Data!AE35</f>
        <v>0</v>
      </c>
      <c r="AF35" s="15">
        <f>'24MS_Data'!AF35-MTOM_Data!AF35</f>
        <v>0</v>
      </c>
      <c r="AG35" s="15">
        <f>'24MS_Data'!AG35-MTOM_Data!AG35</f>
        <v>0</v>
      </c>
      <c r="AH35" s="15">
        <f>'24MS_Data'!AH35-MTOM_Data!AH35</f>
        <v>0</v>
      </c>
      <c r="AI35" s="15">
        <f>'24MS_Data'!AI35-MTOM_Data!AI35</f>
        <v>0</v>
      </c>
      <c r="AJ35" s="16">
        <f>'24MS_Data'!AJ35-MTOM_Data!AJ35</f>
        <v>0</v>
      </c>
      <c r="AK35" s="15">
        <f>'24MS_Data'!AK35-MTOM_Data!AK35</f>
        <v>0</v>
      </c>
      <c r="AL35" s="15">
        <f>'24MS_Data'!AL35-MTOM_Data!AL35</f>
        <v>0</v>
      </c>
      <c r="AM35" s="15">
        <f>'24MS_Data'!AM35-MTOM_Data!AM35</f>
        <v>0</v>
      </c>
      <c r="AN35" s="14">
        <f>'24MS_Data'!AN35-MTOM_Data!AN35</f>
        <v>0</v>
      </c>
      <c r="AO35" s="15">
        <f>'24MS_Data'!AO35-MTOM_Data!AO35</f>
        <v>0</v>
      </c>
      <c r="AP35" s="16">
        <f>'24MS_Data'!AP35-MTOM_Data!AP35</f>
        <v>0</v>
      </c>
      <c r="AQ35" s="15">
        <f>'24MS_Data'!AQ35-MTOM_Data!AQ35</f>
        <v>0</v>
      </c>
      <c r="AR35" s="15">
        <f>'24MS_Data'!AR35-MTOM_Data!AR35</f>
        <v>0</v>
      </c>
      <c r="AS35" s="15">
        <f>'24MS_Data'!AS35-MTOM_Data!AS35</f>
        <v>0</v>
      </c>
      <c r="AT35" s="17">
        <f>'24MS_Data'!AT35-MTOM_Data!AT35</f>
        <v>0</v>
      </c>
      <c r="AU35" s="15">
        <f>'24MS_Data'!AU35-MTOM_Data!AU35</f>
        <v>0</v>
      </c>
      <c r="AV35" s="17">
        <f>'24MS_Data'!AV35-MTOM_Data!AV35</f>
        <v>0</v>
      </c>
    </row>
  </sheetData>
  <mergeCells count="13">
    <mergeCell ref="B1:Y1"/>
    <mergeCell ref="AB1:AV1"/>
    <mergeCell ref="Y2:AC2"/>
    <mergeCell ref="AD2:AJ2"/>
    <mergeCell ref="AK2:AM2"/>
    <mergeCell ref="AN2:AP2"/>
    <mergeCell ref="AQ2:AS2"/>
    <mergeCell ref="V2:X2"/>
    <mergeCell ref="B2:E2"/>
    <mergeCell ref="F2:J2"/>
    <mergeCell ref="K2:M2"/>
    <mergeCell ref="N2:R2"/>
    <mergeCell ref="S2:U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6"/>
  </sheetPr>
  <dimension ref="A1:V40"/>
  <sheetViews>
    <sheetView zoomScaleNormal="100" workbookViewId="0">
      <selection activeCell="D8" sqref="D8:D9"/>
    </sheetView>
  </sheetViews>
  <sheetFormatPr defaultRowHeight="15" x14ac:dyDescent="0.25"/>
  <cols>
    <col min="1" max="1" width="10.7109375" bestFit="true" customWidth="true"/>
    <col min="2" max="2" width="15.140625" customWidth="true"/>
    <col min="3" max="3" width="13.28515625" customWidth="true"/>
    <col min="4" max="4" width="13" customWidth="true"/>
    <col min="5" max="5" width="5" customWidth="true"/>
  </cols>
  <sheetData>
    <row r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ht="19.5" customHeight="true" x14ac:dyDescent="0.3">
      <c r="A2" s="129" t="str">
        <f ca="true">LOOKUP($A$36,SlotID,SlotName)</f>
        <v>Mead.Pool Elevation</v>
      </c>
      <c r="B2" s="129"/>
      <c r="C2" s="129"/>
      <c r="D2" s="129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x14ac:dyDescent="0.25">
      <c r="A3" s="57"/>
      <c r="B3" s="18" t="s">
        <v>37</v>
      </c>
      <c r="C3" s="25" t="s">
        <v>100</v>
      </c>
      <c r="D3" s="34" t="s">
        <v>38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ht="14.45" customHeight="true" x14ac:dyDescent="0.25">
      <c r="A4" s="55">
        <f>Compare_Data!A4</f>
        <v>44043</v>
      </c>
      <c r="B4" s="58">
        <f t="shared" ref="B4:B35" ca="true" si="0">IF(A4&gt;$D$38,"",LOOKUP($A4,TFTime,INDIRECT(A$38)))</f>
        <v>1085.2514934580042</v>
      </c>
      <c r="C4" s="54">
        <f ca="true">IF(A4&gt;$D$38,"",LOOKUP($A4,TFTime,INDIRECT(B$38)))</f>
        <v>0</v>
      </c>
      <c r="D4" s="59">
        <f t="shared" ref="D4:D35" ca="true" si="1">IF(A4&gt;$D$38,"",LOOKUP($A4,TFTime,INDIRECT(C$38)))</f>
        <v>1085.2514934580042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ht="14.45" customHeight="true" x14ac:dyDescent="0.25">
      <c r="A5" s="55">
        <f>Compare_Data!A5</f>
        <v>44074</v>
      </c>
      <c r="B5" s="58">
        <f t="shared" ca="true" si="0"/>
        <v>1085.2599523720462</v>
      </c>
      <c r="C5" s="54">
        <f t="shared" ref="C5:C35" ca="true" si="2">IF(A5&gt;$D$38,"",LOOKUP($A5,TFTime,INDIRECT(B$38)))</f>
        <v>0</v>
      </c>
      <c r="D5" s="59">
        <f t="shared" ca="true" si="1"/>
        <v>1085.2599523720462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ht="14.45" customHeight="true" x14ac:dyDescent="0.25">
      <c r="A6" s="55">
        <f>Compare_Data!A6</f>
        <v>44104</v>
      </c>
      <c r="B6" s="58">
        <f t="shared" ca="true" si="0"/>
        <v>1083.6798558923874</v>
      </c>
      <c r="C6" s="54">
        <f t="shared" ca="true" si="2"/>
        <v>0</v>
      </c>
      <c r="D6" s="59">
        <f t="shared" ca="true" si="1"/>
        <v>1083.6798558923874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ht="14.45" customHeight="true" x14ac:dyDescent="0.25">
      <c r="A7" s="55">
        <f>Compare_Data!A7</f>
        <v>44135</v>
      </c>
      <c r="B7" s="58">
        <f t="shared" ca="true" si="0"/>
        <v>1084.5267326541982</v>
      </c>
      <c r="C7" s="54">
        <f t="shared" ca="true" si="2"/>
        <v>0</v>
      </c>
      <c r="D7" s="59">
        <f t="shared" ca="true" si="1"/>
        <v>1084.5267326541982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ht="14.45" customHeight="true" x14ac:dyDescent="0.25">
      <c r="A8" s="55">
        <f>Compare_Data!A8</f>
        <v>44165</v>
      </c>
      <c r="B8" s="58">
        <f t="shared" ca="true" si="0"/>
        <v>1083.7590032841194</v>
      </c>
      <c r="C8" s="54">
        <f t="shared" ca="true" si="2"/>
        <v>0</v>
      </c>
      <c r="D8" s="59">
        <f t="shared" ca="true" si="1"/>
        <v>1083.7590032841194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65"/>
    </row>
    <row r="9" ht="14.45" customHeight="true" x14ac:dyDescent="0.25">
      <c r="A9" s="55">
        <f>Compare_Data!A9</f>
        <v>44196</v>
      </c>
      <c r="B9" s="58">
        <f t="shared" ca="true" si="0"/>
        <v>1085.5920461548544</v>
      </c>
      <c r="C9" s="54">
        <f t="shared" ca="true" si="2"/>
        <v>0</v>
      </c>
      <c r="D9" s="59">
        <f t="shared" ca="true" si="1"/>
        <v>1085.5920461548544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65"/>
    </row>
    <row r="10" ht="14.45" customHeight="true" x14ac:dyDescent="0.25">
      <c r="A10" s="55">
        <f>Compare_Data!A10</f>
        <v>44227</v>
      </c>
      <c r="B10" s="58">
        <f t="shared" ca="true" si="0"/>
        <v>1089.770448458004</v>
      </c>
      <c r="C10" s="54">
        <f t="shared" ca="true" si="2"/>
        <v>0</v>
      </c>
      <c r="D10" s="59">
        <f t="shared" ca="true" si="1"/>
        <v>1089.770448458004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65"/>
    </row>
    <row r="11" ht="14.45" customHeight="true" x14ac:dyDescent="0.25">
      <c r="A11" s="55">
        <f>Compare_Data!A11</f>
        <v>44255</v>
      </c>
      <c r="B11" s="58">
        <f t="shared" ca="true" si="0"/>
        <v>1092.7880563188965</v>
      </c>
      <c r="C11" s="54">
        <f t="shared" ca="true" si="2"/>
        <v>0</v>
      </c>
      <c r="D11" s="59">
        <f t="shared" ca="true" si="1"/>
        <v>1092.7880563188965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65"/>
    </row>
    <row r="12" ht="14.45" customHeight="true" x14ac:dyDescent="0.25">
      <c r="A12" s="55">
        <f>Compare_Data!A12</f>
        <v>44286</v>
      </c>
      <c r="B12" s="58">
        <f t="shared" ca="true" si="0"/>
        <v>1091.2966744881878</v>
      </c>
      <c r="C12" s="54">
        <f t="shared" ca="true" si="2"/>
        <v>0</v>
      </c>
      <c r="D12" s="59">
        <f t="shared" ca="true" si="1"/>
        <v>1091.2966744881878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65"/>
    </row>
    <row r="13" ht="14.45" customHeight="true" x14ac:dyDescent="0.25">
      <c r="A13" s="55">
        <f>Compare_Data!A13</f>
        <v>44316</v>
      </c>
      <c r="B13" s="58">
        <f t="shared" ca="true" si="0"/>
        <v>1087.724158809054</v>
      </c>
      <c r="C13" s="54">
        <f t="shared" ca="true" si="2"/>
        <v>0</v>
      </c>
      <c r="D13" s="59">
        <f t="shared" ca="true" si="1"/>
        <v>1087.724158809054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65"/>
    </row>
    <row r="14" ht="14.45" customHeight="true" x14ac:dyDescent="0.25">
      <c r="A14" s="55">
        <f>Compare_Data!A14</f>
        <v>44347</v>
      </c>
      <c r="B14" s="58">
        <f t="shared" ca="true" si="0"/>
        <v>1084.1785632808387</v>
      </c>
      <c r="C14" s="54">
        <f t="shared" ca="true" si="2"/>
        <v>0</v>
      </c>
      <c r="D14" s="59">
        <f t="shared" ca="true" si="1"/>
        <v>1084.1785632808387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65"/>
    </row>
    <row r="15" ht="14.45" customHeight="true" x14ac:dyDescent="0.25">
      <c r="A15" s="55">
        <f>Compare_Data!A15</f>
        <v>44377</v>
      </c>
      <c r="B15" s="58">
        <f t="shared" ca="true" si="0"/>
        <v>1081.22423926181</v>
      </c>
      <c r="C15" s="54">
        <f t="shared" ca="true" si="2"/>
        <v>0</v>
      </c>
      <c r="D15" s="59">
        <f t="shared" ca="true" si="1"/>
        <v>1081.22423926181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65"/>
    </row>
    <row r="16" ht="14.45" customHeight="true" x14ac:dyDescent="0.25">
      <c r="A16" s="55">
        <f>Compare_Data!A16</f>
        <v>44408</v>
      </c>
      <c r="B16" s="58">
        <f t="shared" ca="true" si="0"/>
        <v>1081.0852705643033</v>
      </c>
      <c r="C16" s="54">
        <f t="shared" ca="true" si="2"/>
        <v>0</v>
      </c>
      <c r="D16" s="59">
        <f t="shared" ca="true" si="1"/>
        <v>1081.0852705643033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65"/>
    </row>
    <row r="17" ht="14.45" customHeight="true" x14ac:dyDescent="0.25">
      <c r="A17" s="55">
        <f>Compare_Data!A17</f>
        <v>44439</v>
      </c>
      <c r="B17" s="58">
        <f t="shared" ca="true" si="0"/>
        <v>1082.12067383202</v>
      </c>
      <c r="C17" s="54">
        <f t="shared" ca="true" si="2"/>
        <v>0</v>
      </c>
      <c r="D17" s="59">
        <f t="shared" ca="true" si="1"/>
        <v>1082.12067383202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65"/>
    </row>
    <row r="18" ht="14.45" customHeight="true" x14ac:dyDescent="0.25">
      <c r="A18" s="55">
        <f>Compare_Data!A18</f>
        <v>44469</v>
      </c>
      <c r="B18" s="58">
        <f t="shared" ca="true" si="0"/>
        <v>1081.3807422834634</v>
      </c>
      <c r="C18" s="54">
        <f t="shared" ca="true" si="2"/>
        <v>0</v>
      </c>
      <c r="D18" s="59">
        <f t="shared" ca="true" si="1"/>
        <v>1081.3807422834634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65"/>
    </row>
    <row r="19" ht="14.45" customHeight="true" x14ac:dyDescent="0.25">
      <c r="A19" s="55">
        <f>Compare_Data!A19</f>
        <v>44500</v>
      </c>
      <c r="B19" s="58">
        <f t="shared" ca="true" si="0"/>
        <v>1082.6548651279516</v>
      </c>
      <c r="C19" s="54">
        <f t="shared" ca="true" si="2"/>
        <v>0</v>
      </c>
      <c r="D19" s="59">
        <f t="shared" ca="true" si="1"/>
        <v>1082.6548651279516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65"/>
    </row>
    <row r="20" ht="14.45" customHeight="true" x14ac:dyDescent="0.25">
      <c r="A20" s="55">
        <f>Compare_Data!A20</f>
        <v>44530</v>
      </c>
      <c r="B20" s="58">
        <f t="shared" ca="true" si="0"/>
        <v>1082.5916416765081</v>
      </c>
      <c r="C20" s="54">
        <f t="shared" ca="true" si="2"/>
        <v>0</v>
      </c>
      <c r="D20" s="59">
        <f t="shared" ca="true" si="1"/>
        <v>1082.5916416765081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65"/>
    </row>
    <row r="21" ht="14.45" customHeight="true" x14ac:dyDescent="0.25">
      <c r="A21" s="55">
        <f>Compare_Data!A21</f>
        <v>44561</v>
      </c>
      <c r="B21" s="58">
        <f t="shared" ca="true" si="0"/>
        <v>1085.303377805117</v>
      </c>
      <c r="C21" s="54">
        <f t="shared" ca="true" si="2"/>
        <v>0</v>
      </c>
      <c r="D21" s="59">
        <f t="shared" ca="true" si="1"/>
        <v>1085.303377805117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65"/>
    </row>
    <row r="22" ht="14.45" customHeight="true" x14ac:dyDescent="0.25">
      <c r="A22" s="55">
        <f>Compare_Data!A22</f>
        <v>44592</v>
      </c>
      <c r="B22" s="58">
        <f t="shared" ca="true" si="0"/>
        <v>1089.6326745964554</v>
      </c>
      <c r="C22" s="54">
        <f t="shared" ca="true" si="2"/>
        <v>0</v>
      </c>
      <c r="D22" s="59">
        <f t="shared" ca="true" si="1"/>
        <v>1089.6326745964554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65"/>
    </row>
    <row r="23" ht="14.45" customHeight="true" x14ac:dyDescent="0.25">
      <c r="A23" s="55">
        <f>Compare_Data!A23</f>
        <v>44620</v>
      </c>
      <c r="B23" s="58">
        <f t="shared" ca="true" si="0"/>
        <v>1092.7962117454058</v>
      </c>
      <c r="C23" s="54">
        <f t="shared" ca="true" si="2"/>
        <v>0</v>
      </c>
      <c r="D23" s="59">
        <f t="shared" ca="true" si="1"/>
        <v>1092.7962117454058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65"/>
    </row>
    <row r="24" x14ac:dyDescent="0.25">
      <c r="A24" s="55">
        <f>Compare_Data!A24</f>
        <v>44651</v>
      </c>
      <c r="B24" s="58">
        <f t="shared" ca="true" si="0"/>
        <v>1091.4510094783452</v>
      </c>
      <c r="C24" s="54">
        <f t="shared" ca="true" si="2"/>
        <v>0</v>
      </c>
      <c r="D24" s="59">
        <f t="shared" ca="true" si="1"/>
        <v>1091.4510094783452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65"/>
    </row>
    <row r="25" x14ac:dyDescent="0.25">
      <c r="A25" s="55">
        <f>Compare_Data!A25</f>
        <v>44681</v>
      </c>
      <c r="B25" s="58">
        <f t="shared" ca="true" si="0"/>
        <v>1088.0272570669281</v>
      </c>
      <c r="C25" s="54">
        <f t="shared" ca="true" si="2"/>
        <v>0</v>
      </c>
      <c r="D25" s="59">
        <f t="shared" ca="true" si="1"/>
        <v>1088.0272570669281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65"/>
    </row>
    <row r="26" x14ac:dyDescent="0.25">
      <c r="A26" s="55">
        <f>Compare_Data!A26</f>
        <v>44712</v>
      </c>
      <c r="B26" s="58">
        <f t="shared" ca="true" si="0"/>
        <v>1084.6320435662719</v>
      </c>
      <c r="C26" s="54">
        <f t="shared" ca="true" si="2"/>
        <v>0</v>
      </c>
      <c r="D26" s="59">
        <f t="shared" ca="true" si="1"/>
        <v>1084.6320435662719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65"/>
    </row>
    <row r="27" x14ac:dyDescent="0.25">
      <c r="A27" s="55">
        <f>Compare_Data!A27</f>
        <v>44742</v>
      </c>
      <c r="B27" s="58">
        <f t="shared" ca="true" si="0"/>
        <v>1081.8303308464556</v>
      </c>
      <c r="C27" s="54">
        <f t="shared" ca="true" si="2"/>
        <v>0</v>
      </c>
      <c r="D27" s="59">
        <f t="shared" ca="true" si="1"/>
        <v>1081.8303308464556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65"/>
    </row>
    <row r="28" x14ac:dyDescent="0.25">
      <c r="A28" s="55">
        <f>Compare_Data!A28</f>
        <v>44773</v>
      </c>
      <c r="B28" s="58">
        <f t="shared" ca="true" si="0"/>
        <v>1081.8374736778203</v>
      </c>
      <c r="C28" s="54">
        <f t="shared" ca="true" si="2"/>
        <v>0</v>
      </c>
      <c r="D28" s="59">
        <f t="shared" ca="true" si="1"/>
        <v>1081.8374736778203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65"/>
    </row>
    <row r="29" x14ac:dyDescent="0.25">
      <c r="A29" s="55">
        <f>Compare_Data!A29</f>
        <v>44804</v>
      </c>
      <c r="B29" s="58">
        <f t="shared" ca="true" si="0"/>
        <v>1083.0145074081354</v>
      </c>
      <c r="C29" s="54">
        <f t="shared" ca="true" si="2"/>
        <v>0</v>
      </c>
      <c r="D29" s="59">
        <f t="shared" ca="true" si="1"/>
        <v>1083.0145074081354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65"/>
    </row>
    <row r="30" x14ac:dyDescent="0.25">
      <c r="A30" s="55">
        <f>Compare_Data!A30</f>
        <v>44834</v>
      </c>
      <c r="B30" s="58">
        <f t="shared" ca="true" si="0"/>
        <v>1082.4227507283454</v>
      </c>
      <c r="C30" s="54">
        <f t="shared" ca="true" si="2"/>
        <v>0</v>
      </c>
      <c r="D30" s="59">
        <f t="shared" ca="true" si="1"/>
        <v>1082.4227507283454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65"/>
    </row>
    <row r="31" x14ac:dyDescent="0.25">
      <c r="A31" s="55">
        <f>Compare_Data!A31</f>
        <v>44865</v>
      </c>
      <c r="B31" s="58" t="str">
        <f t="shared" ca="true" si="0"/>
        <v/>
      </c>
      <c r="C31" s="54" t="str">
        <f t="shared" ca="true" si="2"/>
        <v/>
      </c>
      <c r="D31" s="59" t="str">
        <f t="shared" ca="true" si="1"/>
        <v/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65"/>
    </row>
    <row r="32" x14ac:dyDescent="0.25">
      <c r="A32" s="55">
        <f>Compare_Data!A32</f>
        <v>44895</v>
      </c>
      <c r="B32" s="58" t="str">
        <f t="shared" ca="true" si="0"/>
        <v/>
      </c>
      <c r="C32" s="54" t="str">
        <f t="shared" ca="true" si="2"/>
        <v/>
      </c>
      <c r="D32" s="59" t="str">
        <f t="shared" ca="true" si="1"/>
        <v/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65"/>
    </row>
    <row r="33" x14ac:dyDescent="0.25">
      <c r="A33" s="55">
        <f>Compare_Data!A33</f>
        <v>44926</v>
      </c>
      <c r="B33" s="58" t="str">
        <f t="shared" ca="true" si="0"/>
        <v/>
      </c>
      <c r="C33" s="54" t="str">
        <f t="shared" ca="true" si="2"/>
        <v/>
      </c>
      <c r="D33" s="59" t="str">
        <f t="shared" ca="true" si="1"/>
        <v/>
      </c>
      <c r="E33" s="1"/>
      <c r="F33" s="1"/>
      <c r="G33" s="66"/>
      <c r="H33" s="66"/>
      <c r="I33" s="66"/>
      <c r="J33" s="66"/>
      <c r="K33" s="66"/>
      <c r="L33" s="66"/>
      <c r="M33" s="1"/>
      <c r="N33" s="1"/>
      <c r="O33" s="1"/>
      <c r="P33" s="1"/>
      <c r="Q33" s="1"/>
      <c r="R33" s="1"/>
      <c r="S33" s="1"/>
      <c r="T33" s="1"/>
      <c r="U33" s="1"/>
      <c r="V33" s="65"/>
    </row>
    <row r="34" x14ac:dyDescent="0.25">
      <c r="A34" s="55">
        <f>Compare_Data!A34</f>
        <v>44957</v>
      </c>
      <c r="B34" s="58" t="str">
        <f t="shared" ca="true" si="0"/>
        <v/>
      </c>
      <c r="C34" s="54" t="str">
        <f t="shared" ca="true" si="2"/>
        <v/>
      </c>
      <c r="D34" s="59" t="str">
        <f t="shared" ca="true" si="1"/>
        <v/>
      </c>
      <c r="E34" s="1"/>
      <c r="F34" s="1"/>
      <c r="G34" s="69"/>
      <c r="H34" s="69" t="s">
        <v>60</v>
      </c>
      <c r="I34" s="69" t="s">
        <v>61</v>
      </c>
      <c r="J34" s="69"/>
      <c r="K34" s="66"/>
      <c r="L34" s="66"/>
      <c r="M34" s="1"/>
      <c r="N34" s="1"/>
      <c r="O34" s="1"/>
      <c r="P34" s="1"/>
      <c r="Q34" s="1"/>
      <c r="R34" s="1"/>
      <c r="S34" s="1"/>
      <c r="T34" s="1"/>
      <c r="U34" s="1"/>
      <c r="V34" s="65"/>
    </row>
    <row r="35" x14ac:dyDescent="0.25">
      <c r="A35" s="56">
        <f>Compare_Data!A35</f>
        <v>44985</v>
      </c>
      <c r="B35" s="58" t="str">
        <f t="shared" ca="true" si="0"/>
        <v/>
      </c>
      <c r="C35" s="54" t="str">
        <f t="shared" ca="true" si="2"/>
        <v/>
      </c>
      <c r="D35" s="59" t="str">
        <f t="shared" ca="true" si="1"/>
        <v/>
      </c>
      <c r="E35" s="1"/>
      <c r="F35" s="1"/>
      <c r="G35" s="69" t="s">
        <v>57</v>
      </c>
      <c r="H35" s="69">
        <f ca="true">IF(I35="",ROUND(0.1*(MAX(B4:C27)-1.5*(MAX(B4:C27)-MIN(B4:C27))),0)*10,I35)</f>
        <v>-550</v>
      </c>
      <c r="I35" s="69"/>
      <c r="J35" s="69"/>
      <c r="K35" s="66"/>
      <c r="L35" s="66"/>
      <c r="M35" s="1"/>
      <c r="N35" s="1"/>
      <c r="O35" s="1"/>
      <c r="P35" s="1"/>
      <c r="Q35" s="1"/>
      <c r="R35" s="1"/>
      <c r="S35" s="1"/>
      <c r="T35" s="1"/>
      <c r="U35" s="1"/>
      <c r="V35" s="65"/>
    </row>
    <row r="36" x14ac:dyDescent="0.25">
      <c r="A36" s="35">
        <v>36</v>
      </c>
      <c r="B36" s="35"/>
      <c r="C36" s="35"/>
      <c r="D36" s="1"/>
      <c r="E36" s="1"/>
      <c r="F36" s="1"/>
      <c r="G36" s="69" t="s">
        <v>58</v>
      </c>
      <c r="H36" s="69">
        <f ca="true">IF(I36="",IF(MIN(D4:D27)&gt;=0,0,IF(MIN(D4:D27)&lt;-10,ROUND((MIN(D4:D27)-5)*0.1,0)*10,ROUND((MIN(D4:D27)-2.5)*0.2,0)*5)),I36)</f>
        <v>0</v>
      </c>
      <c r="I36" s="69"/>
      <c r="J36" s="69"/>
      <c r="K36" s="66"/>
      <c r="L36" s="66"/>
      <c r="M36" s="1"/>
      <c r="N36" s="1"/>
      <c r="O36" s="1"/>
      <c r="P36" s="1"/>
      <c r="Q36" s="1"/>
      <c r="R36" s="1"/>
      <c r="S36" s="1"/>
      <c r="T36" s="1"/>
      <c r="U36" s="1"/>
    </row>
    <row r="37" x14ac:dyDescent="0.25">
      <c r="A37" s="35" t="str">
        <f ca="true">LOOKUP($A$36,SlotID,RangeName)</f>
        <v>Md_Elev</v>
      </c>
      <c r="B37" s="35"/>
      <c r="C37" s="35"/>
      <c r="D37" s="1">
        <f>LOOKUP(RunInformation!$C$6,RunInformation!$I$4:$I$13,RunInformation!$J$4:$J$13)</f>
        <v>27</v>
      </c>
      <c r="E37" s="1"/>
      <c r="F37" s="1"/>
      <c r="G37" s="69" t="s">
        <v>59</v>
      </c>
      <c r="H37" s="69">
        <f ca="true">IF(I37="",ROUNDUP(MAX(D4:D27)+5*(MAX(D4:D27)-MIN(D4:D27)),0),I37)</f>
        <v>1152</v>
      </c>
      <c r="I37" s="69"/>
      <c r="J37" s="69"/>
      <c r="K37" s="66"/>
      <c r="L37" s="66"/>
      <c r="M37" s="1"/>
      <c r="N37" s="1"/>
      <c r="O37" s="1"/>
      <c r="P37" s="1"/>
      <c r="Q37" s="1"/>
      <c r="R37" s="1"/>
      <c r="S37" s="1"/>
      <c r="T37" s="1"/>
      <c r="U37" s="1"/>
    </row>
    <row r="38" x14ac:dyDescent="0.25">
      <c r="A38" s="35" t="str">
        <f ca="true">"TFMS_" &amp; A37</f>
        <v>TFMS_Md_Elev</v>
      </c>
      <c r="B38" s="35" t="str">
        <f ca="true">"MTPO_" &amp; A37</f>
        <v>MTPO_Md_Elev</v>
      </c>
      <c r="C38" s="35" t="str">
        <f ca="true">"Diff_" &amp; A37</f>
        <v>Diff_Md_Elev</v>
      </c>
      <c r="D38" s="63">
        <f>INDEX(A4:A35,$D$37,1)</f>
        <v>44834</v>
      </c>
      <c r="E38" s="1"/>
      <c r="F38" s="1"/>
      <c r="G38" s="66"/>
      <c r="H38" s="66"/>
      <c r="I38" s="66"/>
      <c r="J38" s="66"/>
      <c r="K38" s="66"/>
      <c r="L38" s="66"/>
      <c r="M38" s="1"/>
      <c r="N38" s="1"/>
      <c r="O38" s="1"/>
      <c r="P38" s="1"/>
      <c r="Q38" s="1"/>
      <c r="R38" s="1"/>
      <c r="S38" s="1"/>
      <c r="T38" s="1"/>
      <c r="U38" s="1"/>
    </row>
    <row r="39" x14ac:dyDescent="0.25">
      <c r="D39" s="64"/>
      <c r="G39" s="67"/>
      <c r="H39" s="68"/>
      <c r="I39" s="67"/>
      <c r="J39" s="67"/>
      <c r="K39" s="67"/>
      <c r="L39" s="67"/>
    </row>
    <row r="40" x14ac:dyDescent="0.25">
      <c r="G40" s="67"/>
      <c r="H40" s="67"/>
      <c r="I40" s="67"/>
      <c r="J40" s="67"/>
      <c r="K40" s="67"/>
      <c r="L40" s="67"/>
    </row>
  </sheetData>
  <mergeCells count="1">
    <mergeCell ref="A2:D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 macro="[0]!setToAuto">
                <anchor moveWithCells="1">
                  <from>
                    <xdr:col>5</xdr:col>
                    <xdr:colOff>133350</xdr:colOff>
                    <xdr:row>1</xdr:row>
                    <xdr:rowOff>123825</xdr:rowOff>
                  </from>
                  <to>
                    <xdr:col>8</xdr:col>
                    <xdr:colOff>171450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iffToSecondAxis">
                <anchor moveWithCells="1" sizeWithCells="1">
                  <from>
                    <xdr:col>17</xdr:col>
                    <xdr:colOff>352425</xdr:colOff>
                    <xdr:row>2</xdr:row>
                    <xdr:rowOff>19050</xdr:rowOff>
                  </from>
                  <to>
                    <xdr:col>19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148</vt:i4>
      </vt:variant>
    </vt:vector>
  </HeadingPairs>
  <TitlesOfParts>
    <vt:vector size="153" baseType="lpstr">
      <vt:lpstr>RunInformation</vt:lpstr>
      <vt:lpstr>24MS_Data</vt:lpstr>
      <vt:lpstr>MTOM_Data</vt:lpstr>
      <vt:lpstr>Compare_Data</vt:lpstr>
      <vt:lpstr>Compare_Plots</vt:lpstr>
      <vt:lpstr>Diff_BM_Elev</vt:lpstr>
      <vt:lpstr>Diff_BM_In</vt:lpstr>
      <vt:lpstr>Diff_BM_Out</vt:lpstr>
      <vt:lpstr>Diff_BM_Spill</vt:lpstr>
      <vt:lpstr>Diff_BMIn_Unreg</vt:lpstr>
      <vt:lpstr>Diff_CAP_DivReq</vt:lpstr>
      <vt:lpstr>Diff_Cry_Elev</vt:lpstr>
      <vt:lpstr>Diff_Cry_Out</vt:lpstr>
      <vt:lpstr>Diff_Cry_Spill</vt:lpstr>
      <vt:lpstr>Diff_FG_Elev</vt:lpstr>
      <vt:lpstr>Diff_FG_In</vt:lpstr>
      <vt:lpstr>Diff_FG_Out</vt:lpstr>
      <vt:lpstr>Diff_FG_Spill</vt:lpstr>
      <vt:lpstr>Diff_FGIn_Unreg</vt:lpstr>
      <vt:lpstr>Diff_Font_Elev</vt:lpstr>
      <vt:lpstr>Diff_Font_In</vt:lpstr>
      <vt:lpstr>Diff_Font_Out</vt:lpstr>
      <vt:lpstr>Diff_Font_Spill</vt:lpstr>
      <vt:lpstr>Diff_Hav_Egy</vt:lpstr>
      <vt:lpstr>Diff_Hav_Elev</vt:lpstr>
      <vt:lpstr>Diff_Hav_Out</vt:lpstr>
      <vt:lpstr>Diff_Md_Egy</vt:lpstr>
      <vt:lpstr>Diff_Md_Elev</vt:lpstr>
      <vt:lpstr>Diff_Md_Out</vt:lpstr>
      <vt:lpstr>Diff_Mo_Egy</vt:lpstr>
      <vt:lpstr>Diff_Mo_Elev</vt:lpstr>
      <vt:lpstr>Diff_Mo_Out</vt:lpstr>
      <vt:lpstr>Diff_MWD_DivReq</vt:lpstr>
      <vt:lpstr>Diff_Nav_Elev</vt:lpstr>
      <vt:lpstr>Diff_Nav_In</vt:lpstr>
      <vt:lpstr>Diff_Nav_Out</vt:lpstr>
      <vt:lpstr>Diff_Nav_Spill</vt:lpstr>
      <vt:lpstr>Diff_NavIn_Unreg</vt:lpstr>
      <vt:lpstr>Diff_Pow_Elev</vt:lpstr>
      <vt:lpstr>Diff_Pow_Evap</vt:lpstr>
      <vt:lpstr>Diff_Pow_In</vt:lpstr>
      <vt:lpstr>Diff_Pow_Out</vt:lpstr>
      <vt:lpstr>Diff_Pow_Spill</vt:lpstr>
      <vt:lpstr>Diff_Pow_Storage</vt:lpstr>
      <vt:lpstr>Diff_PowIn_Unreg</vt:lpstr>
      <vt:lpstr>Diff_SNWP_DivReq</vt:lpstr>
      <vt:lpstr>Diff_Time</vt:lpstr>
      <vt:lpstr>Diff_TP_Elev</vt:lpstr>
      <vt:lpstr>Diff_TP_In</vt:lpstr>
      <vt:lpstr>Diff_TP_Out</vt:lpstr>
      <vt:lpstr>Diff_Val_Elev</vt:lpstr>
      <vt:lpstr>Diff_Val_In</vt:lpstr>
      <vt:lpstr>Diff_Val_Out</vt:lpstr>
      <vt:lpstr>Elevation</vt:lpstr>
      <vt:lpstr>MOMTime</vt:lpstr>
      <vt:lpstr>MTPO_BM_Elev</vt:lpstr>
      <vt:lpstr>MTPO_BM_In</vt:lpstr>
      <vt:lpstr>MTPO_BM_Out</vt:lpstr>
      <vt:lpstr>MTPO_BM_Spill</vt:lpstr>
      <vt:lpstr>MTPO_BMIn_Unreg</vt:lpstr>
      <vt:lpstr>MTPO_CAP_DivReq</vt:lpstr>
      <vt:lpstr>MTPO_Cry_Elev</vt:lpstr>
      <vt:lpstr>MTPO_Cry_Out</vt:lpstr>
      <vt:lpstr>MTPO_Cry_Spill</vt:lpstr>
      <vt:lpstr>MTPO_FG_Elev</vt:lpstr>
      <vt:lpstr>MTPO_FG_In</vt:lpstr>
      <vt:lpstr>MTPO_FG_Out</vt:lpstr>
      <vt:lpstr>MTPO_FG_Spill</vt:lpstr>
      <vt:lpstr>MTPO_FGIn_Unreg</vt:lpstr>
      <vt:lpstr>MTPO_Font_Elev</vt:lpstr>
      <vt:lpstr>MTPO_Font_In</vt:lpstr>
      <vt:lpstr>MTPO_Font_Out</vt:lpstr>
      <vt:lpstr>MTPO_Font_Spill</vt:lpstr>
      <vt:lpstr>MTPO_Hav_Egy</vt:lpstr>
      <vt:lpstr>MTPO_Hav_Elev</vt:lpstr>
      <vt:lpstr>MTPO_Hav_Out</vt:lpstr>
      <vt:lpstr>MTPO_Md_Egy</vt:lpstr>
      <vt:lpstr>MTPO_Md_Elev</vt:lpstr>
      <vt:lpstr>MTPO_Md_Out</vt:lpstr>
      <vt:lpstr>MTPO_Mo_Egy</vt:lpstr>
      <vt:lpstr>MTPO_Mo_Elev</vt:lpstr>
      <vt:lpstr>MTPO_Mo_Out</vt:lpstr>
      <vt:lpstr>MTPO_MWD_DivReq</vt:lpstr>
      <vt:lpstr>MTPO_Nav_Elev</vt:lpstr>
      <vt:lpstr>MTPO_Nav_In</vt:lpstr>
      <vt:lpstr>MTPO_Nav_Out</vt:lpstr>
      <vt:lpstr>MTPO_Nav_Spill</vt:lpstr>
      <vt:lpstr>MTPO_NavIn_Unreg</vt:lpstr>
      <vt:lpstr>MTPO_Pow_Elev</vt:lpstr>
      <vt:lpstr>MTPO_Pow_Evap</vt:lpstr>
      <vt:lpstr>MTPO_Pow_In</vt:lpstr>
      <vt:lpstr>MTPO_Pow_Out</vt:lpstr>
      <vt:lpstr>MTPO_Pow_Spill</vt:lpstr>
      <vt:lpstr>MTPO_Pow_Storage</vt:lpstr>
      <vt:lpstr>MTPO_PowIn_Unreg</vt:lpstr>
      <vt:lpstr>MTPO_SNWP_DivReq</vt:lpstr>
      <vt:lpstr>MTPO_TP_Elev</vt:lpstr>
      <vt:lpstr>MTPO_TP_In</vt:lpstr>
      <vt:lpstr>MTPO_TP_Out</vt:lpstr>
      <vt:lpstr>MTPO_Val_Elev</vt:lpstr>
      <vt:lpstr>MTPO_Val_In</vt:lpstr>
      <vt:lpstr>MTPO_Val_Out</vt:lpstr>
      <vt:lpstr>RangeName</vt:lpstr>
      <vt:lpstr>SlotID</vt:lpstr>
      <vt:lpstr>SlotName</vt:lpstr>
      <vt:lpstr>TFMS_BM_Elev</vt:lpstr>
      <vt:lpstr>TFMS_BM_In</vt:lpstr>
      <vt:lpstr>TFMS_BM_Out</vt:lpstr>
      <vt:lpstr>TFMS_BM_Spill</vt:lpstr>
      <vt:lpstr>TFMS_BMIn_Unreg</vt:lpstr>
      <vt:lpstr>TFMS_CAP_DivReq</vt:lpstr>
      <vt:lpstr>TFMS_Cry_Elev</vt:lpstr>
      <vt:lpstr>TFMS_Cry_Out</vt:lpstr>
      <vt:lpstr>TFMS_Cry_Spill</vt:lpstr>
      <vt:lpstr>TFMS_FG_Elev</vt:lpstr>
      <vt:lpstr>TFMS_FG_In</vt:lpstr>
      <vt:lpstr>TFMS_FG_Out</vt:lpstr>
      <vt:lpstr>TFMS_FG_Spill</vt:lpstr>
      <vt:lpstr>TFMS_FGIn_Unreg</vt:lpstr>
      <vt:lpstr>TFMS_Font_Elev</vt:lpstr>
      <vt:lpstr>TFMS_Font_In</vt:lpstr>
      <vt:lpstr>TFMS_Font_Out</vt:lpstr>
      <vt:lpstr>TFMS_Font_Spill</vt:lpstr>
      <vt:lpstr>TFMS_Hav_Egy</vt:lpstr>
      <vt:lpstr>TFMS_Hav_Elev</vt:lpstr>
      <vt:lpstr>TFMS_Hav_Out</vt:lpstr>
      <vt:lpstr>TFMS_Md_Egy</vt:lpstr>
      <vt:lpstr>TFMS_Md_Elev</vt:lpstr>
      <vt:lpstr>TFMS_Md_Out</vt:lpstr>
      <vt:lpstr>TFMS_Mo_Egy</vt:lpstr>
      <vt:lpstr>TFMS_Mo_Elev</vt:lpstr>
      <vt:lpstr>TFMS_Mo_Out</vt:lpstr>
      <vt:lpstr>TFMS_MWD_DivReq</vt:lpstr>
      <vt:lpstr>TFMS_Nav_Elev</vt:lpstr>
      <vt:lpstr>TFMS_Nav_In</vt:lpstr>
      <vt:lpstr>TFMS_Nav_Out</vt:lpstr>
      <vt:lpstr>TFMS_Nav_Spill</vt:lpstr>
      <vt:lpstr>TFMS_NavIn_Unreg</vt:lpstr>
      <vt:lpstr>TFMS_Pow_Elev</vt:lpstr>
      <vt:lpstr>TFMS_Pow_Evap</vt:lpstr>
      <vt:lpstr>TFMS_Pow_In</vt:lpstr>
      <vt:lpstr>TFMS_Pow_Out</vt:lpstr>
      <vt:lpstr>TFMS_Pow_Spill</vt:lpstr>
      <vt:lpstr>TFMS_Pow_Storage</vt:lpstr>
      <vt:lpstr>TFMS_PowIn_Unreg</vt:lpstr>
      <vt:lpstr>TFMS_SNWP_DivReq</vt:lpstr>
      <vt:lpstr>TFMS_TP_Elev</vt:lpstr>
      <vt:lpstr>TFMS_TP_In</vt:lpstr>
      <vt:lpstr>TFMS_TP_Out</vt:lpstr>
      <vt:lpstr>TFMS_Val_Elev</vt:lpstr>
      <vt:lpstr>TFMS_Val_In</vt:lpstr>
      <vt:lpstr>TFMS_Val_Out</vt:lpstr>
      <vt:lpstr>TFTime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</dc:creator>
  <cp:lastModifiedBy>Alex Pivarnik</cp:lastModifiedBy>
  <dcterms:created xsi:type="dcterms:W3CDTF">2006-09-16T00:00:00Z</dcterms:created>
  <dcterms:modified xsi:type="dcterms:W3CDTF">2020-12-03T15:42:51Z</dcterms:modified>
</cp:coreProperties>
</file>
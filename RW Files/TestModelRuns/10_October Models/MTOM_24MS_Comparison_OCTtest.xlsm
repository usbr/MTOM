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pivarnik\Desktop\GIT\MTOM\Output Data\"/>
    </mc:Choice>
  </mc:AlternateContent>
  <xr:revisionPtr revIDLastSave="0" documentId="13_ncr:1_{17D05BC4-4336-4063-B0BD-A136A02D1C2D}" xr6:coauthVersionLast="45" xr6:coauthVersionMax="45" xr10:uidLastSave="{00000000-0000-0000-0000-000000000000}"/>
  <bookViews>
    <workbookView xWindow="-120" yWindow="-120" windowWidth="29040" windowHeight="15840" activeTab="4" xr2:uid="{00000000-000D-0000-FFFF-FFFF00000000}"/>
  </bookViews>
  <sheets>
    <sheet name="RunInformation" sheetId="4" r:id="rId1"/>
    <sheet name="24MS_Data" sheetId="2" r:id="rId2"/>
    <sheet name="MTOM_Data" sheetId="1" r:id="rId3"/>
    <sheet name="Compare_Data" sheetId="3" r:id="rId4"/>
    <sheet name="Compare_Plots" sheetId="6" r:id="rId5"/>
  </sheets>
  <definedNames>
    <definedName name="Diff_BM_Elev">Compare_Data!$N$4:$N$27</definedName>
    <definedName name="Diff_BM_In">Compare_Data!$O$4:$O$27</definedName>
    <definedName name="Diff_BM_Out">Compare_Data!$Q$4:$Q$27</definedName>
    <definedName name="Diff_BM_Spill">Compare_Data!$R$4:$R$27</definedName>
    <definedName name="Diff_BMIn_Unreg">Compare_Data!$P$4:$P$27</definedName>
    <definedName name="Diff_CAP_DivReq">Compare_Data!$AV$4:$AV$27</definedName>
    <definedName name="Diff_Cry_Elev">Compare_Data!$S$4:$S$27</definedName>
    <definedName name="Diff_Cry_Out">Compare_Data!$T$4:$T$27</definedName>
    <definedName name="Diff_Cry_Spill">Compare_Data!$U$4:$U$27</definedName>
    <definedName name="Diff_FG_Elev">Compare_Data!$F$4:$F$27</definedName>
    <definedName name="Diff_FG_In">Compare_Data!$G$4:$G$27</definedName>
    <definedName name="Diff_FG_Out">Compare_Data!$I$4:$I$27</definedName>
    <definedName name="Diff_FG_Spill">Compare_Data!$J$4:$J$27</definedName>
    <definedName name="Diff_FGIn_Unreg">Compare_Data!$H$4:$H$27</definedName>
    <definedName name="Diff_Font_Elev">Compare_Data!$B$4:$B$27</definedName>
    <definedName name="Diff_Font_In">Compare_Data!$C$4:$C$27</definedName>
    <definedName name="Diff_Font_Out">Compare_Data!$D$4:$D$27</definedName>
    <definedName name="Diff_Font_Spill">Compare_Data!$E$4:$E$27</definedName>
    <definedName name="Diff_Hav_Egy">Compare_Data!$AS$4:$AS$27</definedName>
    <definedName name="Diff_Hav_Elev">Compare_Data!$AQ$4:$AQ$27</definedName>
    <definedName name="Diff_Hav_Out">Compare_Data!$AR$4:$AR$27</definedName>
    <definedName name="Diff_Md_Egy">Compare_Data!$AM$4:$AM$27</definedName>
    <definedName name="Diff_Md_Elev">Compare_Data!$AK$4:$AK$27</definedName>
    <definedName name="Diff_Md_Out">Compare_Data!$AL$4:$AL$27</definedName>
    <definedName name="Diff_Mo_Egy">Compare_Data!$AP$4:$AP$27</definedName>
    <definedName name="Diff_Mo_Elev">Compare_Data!$AN$4:$AN$27</definedName>
    <definedName name="Diff_Mo_Out">Compare_Data!$AO$4:$AO$27</definedName>
    <definedName name="Diff_MWD_DivReq">Compare_Data!$AU$4:$AU$27</definedName>
    <definedName name="Diff_Nav_Elev">Compare_Data!$Y$4:$Y$27</definedName>
    <definedName name="Diff_Nav_In">Compare_Data!$Z$4:$Z$27</definedName>
    <definedName name="Diff_Nav_Out">Compare_Data!$AB$4:$AB$27</definedName>
    <definedName name="Diff_Nav_Spill">Compare_Data!$AC$4:$AC$27</definedName>
    <definedName name="Diff_NavIn_Unreg">Compare_Data!$AA$4:$AA$27</definedName>
    <definedName name="Diff_Pow_Elev">Compare_Data!$AD$4:$AD$27</definedName>
    <definedName name="Diff_Pow_Evap">Compare_Data!$AH$4:$AH$27</definedName>
    <definedName name="Diff_Pow_In">Compare_Data!$AF$4:$AF$27</definedName>
    <definedName name="Diff_Pow_Out">Compare_Data!$AI$4:$AI$27</definedName>
    <definedName name="Diff_Pow_Spill">Compare_Data!$AJ$4:$AJ$27</definedName>
    <definedName name="Diff_Pow_Storage">Compare_Data!$AE$4:$AE$27</definedName>
    <definedName name="Diff_PowIn_Unreg">Compare_Data!$AG$4:$AG$27</definedName>
    <definedName name="Diff_SNWP_DivReq">Compare_Data!$AT$4:$AT$27</definedName>
    <definedName name="Diff_Time">Compare_Data!$A$4:$A$27</definedName>
    <definedName name="Diff_TP_Elev">Compare_Data!$K$4:$K$27</definedName>
    <definedName name="Diff_TP_In">Compare_Data!$L$4:$L$27</definedName>
    <definedName name="Diff_TP_Out">Compare_Data!$M$4:$M$27</definedName>
    <definedName name="Diff_Val_Elev">Compare_Data!$V$4:$V$27</definedName>
    <definedName name="Diff_Val_In">Compare_Data!$W$4:$W$27</definedName>
    <definedName name="Diff_Val_Out">Compare_Data!$X$4:$X$27</definedName>
    <definedName name="Elevation">MTOM_Data!$B$4:$B$27</definedName>
    <definedName name="MOMTime">MTOM_Data!$A$4:$A$27</definedName>
    <definedName name="MTPO_BM_Elev">MTOM_Data!$N$4:$N$27</definedName>
    <definedName name="MTPO_BM_In">MTOM_Data!$O$4:$O$27</definedName>
    <definedName name="MTPO_BM_Out">MTOM_Data!$Q$4:$Q$27</definedName>
    <definedName name="MTPO_BM_Spill">MTOM_Data!$R$4:$R$27</definedName>
    <definedName name="MTPO_BMIn_Unreg">MTOM_Data!$P$4:$P$27</definedName>
    <definedName name="MTPO_CAP_DivReq">MTOM_Data!$AV$4:$AV$27</definedName>
    <definedName name="MTPO_Cry_Elev">MTOM_Data!$S$4:$S$27</definedName>
    <definedName name="MTPO_Cry_Out">MTOM_Data!$T$4:$T$27</definedName>
    <definedName name="MTPO_Cry_Spill">MTOM_Data!$U$4:$U$27</definedName>
    <definedName name="MTPO_FG_Elev">MTOM_Data!$F$4:$F$27</definedName>
    <definedName name="MTPO_FG_In">MTOM_Data!$G$4:$G$27</definedName>
    <definedName name="MTPO_FG_Out">MTOM_Data!$I$4:$I$27</definedName>
    <definedName name="MTPO_FG_Spill">MTOM_Data!$J$4:$J$27</definedName>
    <definedName name="MTPO_FGIn_Unreg">MTOM_Data!$H$4:$H$27</definedName>
    <definedName name="MTPO_Font_Elev">MTOM_Data!$B$4:$B$27</definedName>
    <definedName name="MTPO_Font_In">MTOM_Data!$C$4:$C$27</definedName>
    <definedName name="MTPO_Font_Out">MTOM_Data!$D$4:$D$27</definedName>
    <definedName name="MTPO_Font_Spill">MTOM_Data!$E$4:$E$27</definedName>
    <definedName name="MTPO_Hav_Egy">MTOM_Data!$AS$4:$AS$27</definedName>
    <definedName name="MTPO_Hav_Elev">MTOM_Data!$AQ$4:$AQ$27</definedName>
    <definedName name="MTPO_Hav_Out">MTOM_Data!$AR$4:$AR$27</definedName>
    <definedName name="MTPO_Md_Egy">MTOM_Data!$AM$4:$AM$27</definedName>
    <definedName name="MTPO_Md_Elev">MTOM_Data!$AK$4:$AK$27</definedName>
    <definedName name="MTPO_Md_Out">MTOM_Data!$AL$4:$AL$27</definedName>
    <definedName name="MTPO_Mo_Egy">MTOM_Data!$AP$4:$AP$27</definedName>
    <definedName name="MTPO_Mo_Elev">MTOM_Data!$AN$4:$AN$27</definedName>
    <definedName name="MTPO_Mo_Out">MTOM_Data!$AO$4:$AO$27</definedName>
    <definedName name="MTPO_MWD_DivReq">MTOM_Data!$AU$4:$AU$27</definedName>
    <definedName name="MTPO_Nav_Elev">MTOM_Data!$Y$4:$Y$27</definedName>
    <definedName name="MTPO_Nav_In">MTOM_Data!$Z$4:$Z$27</definedName>
    <definedName name="MTPO_Nav_Out">MTOM_Data!$AB$4:$AB$27</definedName>
    <definedName name="MTPO_Nav_Spill">MTOM_Data!$AC$4:$AC$27</definedName>
    <definedName name="MTPO_NavIn_Unreg">MTOM_Data!$AA$4:$AA$27</definedName>
    <definedName name="MTPO_Pow_Elev">MTOM_Data!$AD$4:$AD$27</definedName>
    <definedName name="MTPO_Pow_Evap">MTOM_Data!$AH$4:$AH$27</definedName>
    <definedName name="MTPO_Pow_In">MTOM_Data!$AF$4:$AF$27</definedName>
    <definedName name="MTPO_Pow_Out">MTOM_Data!$AI$4:$AI$27</definedName>
    <definedName name="MTPO_Pow_Spill">MTOM_Data!$AJ$4:$AJ$27</definedName>
    <definedName name="MTPO_Pow_Storage">MTOM_Data!$AE$4:$AE$27</definedName>
    <definedName name="MTPO_PowIn_Unreg">MTOM_Data!$AG$4:$AG$27</definedName>
    <definedName name="MTPO_SNWP_DivReq">MTOM_Data!$AT$4:$AT$27</definedName>
    <definedName name="MTPO_TP_Elev">MTOM_Data!$K$4:$K$27</definedName>
    <definedName name="MTPO_TP_In">MTOM_Data!$L$4:$L$27</definedName>
    <definedName name="MTPO_TP_Out">MTOM_Data!$M$4:$M$27</definedName>
    <definedName name="MTPO_Val_Elev">MTOM_Data!$V$4:$V$27</definedName>
    <definedName name="MTPO_Val_In">MTOM_Data!$W$4:$W$27</definedName>
    <definedName name="MTPO_Val_Out">MTOM_Data!$X$4:$X$27</definedName>
    <definedName name="RangeName">RunInformation!$G$4:$G$91</definedName>
    <definedName name="SlotID">RunInformation!$E$4:$E$78</definedName>
    <definedName name="SlotName">RunInformation!$F$4:$F$91</definedName>
    <definedName name="TFMS_BM_Elev">'24MS_Data'!$N$4:$N$27</definedName>
    <definedName name="TFMS_BM_In">'24MS_Data'!$O$4:$O$27</definedName>
    <definedName name="TFMS_BM_Out">'24MS_Data'!$Q$4:$Q$27</definedName>
    <definedName name="TFMS_BM_Spill">'24MS_Data'!$R$4:$R$27</definedName>
    <definedName name="TFMS_BMIn_Unreg">'24MS_Data'!$P$4:$P$27</definedName>
    <definedName name="TFMS_CAP_DivReq">'24MS_Data'!$AV$4:$AV$27</definedName>
    <definedName name="TFMS_Cry_Elev">'24MS_Data'!$S$4:$S$27</definedName>
    <definedName name="TFMS_Cry_Out">'24MS_Data'!$T$4:$T$27</definedName>
    <definedName name="TFMS_Cry_Spill">'24MS_Data'!$U$4:$U$27</definedName>
    <definedName name="TFMS_FG_Elev">'24MS_Data'!$F$4:$F$27</definedName>
    <definedName name="TFMS_FG_In">'24MS_Data'!$G$4:$G$27</definedName>
    <definedName name="TFMS_FG_Out">'24MS_Data'!$I$4:$I$27</definedName>
    <definedName name="TFMS_FG_Spill">'24MS_Data'!$J$4:$J$27</definedName>
    <definedName name="TFMS_FGIn_Unreg">'24MS_Data'!$H$4:$H$27</definedName>
    <definedName name="TFMS_Font_Elev">'24MS_Data'!$B$4:$B$27</definedName>
    <definedName name="TFMS_Font_In">'24MS_Data'!$C$4:$C$27</definedName>
    <definedName name="TFMS_Font_Out">'24MS_Data'!$D$4:$D$27</definedName>
    <definedName name="TFMS_Font_Spill">'24MS_Data'!$E$4:$E$27</definedName>
    <definedName name="TFMS_Hav_Egy">'24MS_Data'!$AS$4:$AS$27</definedName>
    <definedName name="TFMS_Hav_Elev">'24MS_Data'!$AQ$4:$AQ$27</definedName>
    <definedName name="TFMS_Hav_Out">'24MS_Data'!$AR$4:$AR$27</definedName>
    <definedName name="TFMS_Md_Egy">'24MS_Data'!$AM$4:$AM$27</definedName>
    <definedName name="TFMS_Md_Elev">'24MS_Data'!$AK$4:$AK$27</definedName>
    <definedName name="TFMS_Md_Out">'24MS_Data'!$AL$4:$AL$27</definedName>
    <definedName name="TFMS_Mo_Egy">'24MS_Data'!$AP$4:$AP$27</definedName>
    <definedName name="TFMS_Mo_Elev">'24MS_Data'!$AN$4:$AN$27</definedName>
    <definedName name="TFMS_Mo_Out">'24MS_Data'!$AO$4:$AO$27</definedName>
    <definedName name="TFMS_MWD_DivReq">'24MS_Data'!$AU$4:$AU$27</definedName>
    <definedName name="TFMS_Nav_Elev">'24MS_Data'!$Y$4:$Y$27</definedName>
    <definedName name="TFMS_Nav_In">'24MS_Data'!$Z$4:$Z$27</definedName>
    <definedName name="TFMS_Nav_Out">'24MS_Data'!$AB$4:$AB$27</definedName>
    <definedName name="TFMS_Nav_Spill">'24MS_Data'!$AC$4:$AC$27</definedName>
    <definedName name="TFMS_NavIn_Unreg">'24MS_Data'!$AA$4:$AA$27</definedName>
    <definedName name="TFMS_Pow_Elev">'24MS_Data'!$AD$4:$AD$27</definedName>
    <definedName name="TFMS_Pow_Evap">'24MS_Data'!$AH$4:$AH$27</definedName>
    <definedName name="TFMS_Pow_In">'24MS_Data'!$AF$4:$AF$27</definedName>
    <definedName name="TFMS_Pow_Out">'24MS_Data'!$AI$4:$AI$27</definedName>
    <definedName name="TFMS_Pow_Spill">'24MS_Data'!$AJ$4:$AJ$27</definedName>
    <definedName name="TFMS_Pow_Storage">'24MS_Data'!$AE$4:$AE$27</definedName>
    <definedName name="TFMS_PowIn_Unreg">'24MS_Data'!$AG$4:$AG$27</definedName>
    <definedName name="TFMS_SNWP_DivReq">'24MS_Data'!$AT$4:$AT$27</definedName>
    <definedName name="TFMS_TP_Elev">'24MS_Data'!$K$4:$K$27</definedName>
    <definedName name="TFMS_TP_In">'24MS_Data'!$L$4:$L$27</definedName>
    <definedName name="TFMS_TP_Out">'24MS_Data'!$M$4:$M$27</definedName>
    <definedName name="TFMS_Val_Elev">'24MS_Data'!$V$4:$V$27</definedName>
    <definedName name="TFMS_Val_In">'24MS_Data'!$W$4:$W$27</definedName>
    <definedName name="TFMS_Val_Out">'24MS_Data'!$X$4:$X$27</definedName>
    <definedName name="TFTime">'24MS_Data'!$A$4:$A$35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7" i="6" l="1"/>
  <c r="C38" i="6" s="1"/>
  <c r="A2" i="6"/>
  <c r="AV35" i="3"/>
  <c r="AU35" i="3"/>
  <c r="AT35" i="3"/>
  <c r="AS35" i="3"/>
  <c r="AR35" i="3"/>
  <c r="AQ35" i="3"/>
  <c r="AP35" i="3"/>
  <c r="AO35" i="3"/>
  <c r="AN35" i="3"/>
  <c r="AM35" i="3"/>
  <c r="AL35" i="3"/>
  <c r="AK35" i="3"/>
  <c r="AJ35" i="3"/>
  <c r="AI35" i="3"/>
  <c r="AH35" i="3"/>
  <c r="AG35" i="3"/>
  <c r="AF35" i="3"/>
  <c r="AE35" i="3"/>
  <c r="AD35" i="3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V34" i="3"/>
  <c r="AU34" i="3"/>
  <c r="AT34" i="3"/>
  <c r="AS34" i="3"/>
  <c r="AR34" i="3"/>
  <c r="AQ34" i="3"/>
  <c r="AP34" i="3"/>
  <c r="AO34" i="3"/>
  <c r="AN34" i="3"/>
  <c r="AM34" i="3"/>
  <c r="AL34" i="3"/>
  <c r="AK34" i="3"/>
  <c r="AJ34" i="3"/>
  <c r="AI34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AV33" i="3"/>
  <c r="AU33" i="3"/>
  <c r="AT33" i="3"/>
  <c r="AS33" i="3"/>
  <c r="AR33" i="3"/>
  <c r="AQ33" i="3"/>
  <c r="AP33" i="3"/>
  <c r="AO33" i="3"/>
  <c r="AN33" i="3"/>
  <c r="AM33" i="3"/>
  <c r="AL33" i="3"/>
  <c r="AK33" i="3"/>
  <c r="AJ33" i="3"/>
  <c r="AI33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AV32" i="3"/>
  <c r="AU32" i="3"/>
  <c r="AT32" i="3"/>
  <c r="AS32" i="3"/>
  <c r="AR32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AV31" i="3"/>
  <c r="AU31" i="3"/>
  <c r="AT31" i="3"/>
  <c r="AS31" i="3"/>
  <c r="AR31" i="3"/>
  <c r="AQ31" i="3"/>
  <c r="AP31" i="3"/>
  <c r="AO31" i="3"/>
  <c r="AN31" i="3"/>
  <c r="AM31" i="3"/>
  <c r="AL31" i="3"/>
  <c r="AK31" i="3"/>
  <c r="AJ31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AV30" i="3"/>
  <c r="AU30" i="3"/>
  <c r="AT30" i="3"/>
  <c r="AS30" i="3"/>
  <c r="AR30" i="3"/>
  <c r="AQ30" i="3"/>
  <c r="AP30" i="3"/>
  <c r="AO30" i="3"/>
  <c r="AN30" i="3"/>
  <c r="AM30" i="3"/>
  <c r="AL30" i="3"/>
  <c r="AK30" i="3"/>
  <c r="AJ30" i="3"/>
  <c r="AI30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AV29" i="3"/>
  <c r="AU29" i="3"/>
  <c r="AT29" i="3"/>
  <c r="AS29" i="3"/>
  <c r="AR29" i="3"/>
  <c r="AQ29" i="3"/>
  <c r="AP29" i="3"/>
  <c r="AO29" i="3"/>
  <c r="AN29" i="3"/>
  <c r="AM29" i="3"/>
  <c r="AL29" i="3"/>
  <c r="AK29" i="3"/>
  <c r="AJ29" i="3"/>
  <c r="AI29" i="3"/>
  <c r="AH29" i="3"/>
  <c r="AG29" i="3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AV28" i="3"/>
  <c r="AU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AV27" i="3"/>
  <c r="AU27" i="3"/>
  <c r="AT27" i="3"/>
  <c r="AS27" i="3"/>
  <c r="AR27" i="3"/>
  <c r="AQ27" i="3"/>
  <c r="AP27" i="3"/>
  <c r="AO27" i="3"/>
  <c r="AN27" i="3"/>
  <c r="AM27" i="3"/>
  <c r="AL27" i="3"/>
  <c r="AK27" i="3"/>
  <c r="AJ27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AV26" i="3"/>
  <c r="AU26" i="3"/>
  <c r="AT26" i="3"/>
  <c r="AS26" i="3"/>
  <c r="AR26" i="3"/>
  <c r="AQ26" i="3"/>
  <c r="AP26" i="3"/>
  <c r="AO26" i="3"/>
  <c r="AN26" i="3"/>
  <c r="AM26" i="3"/>
  <c r="AL26" i="3"/>
  <c r="AK26" i="3"/>
  <c r="AJ26" i="3"/>
  <c r="AI26" i="3"/>
  <c r="AH26" i="3"/>
  <c r="AG26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AV25" i="3"/>
  <c r="AU25" i="3"/>
  <c r="AT25" i="3"/>
  <c r="AS25" i="3"/>
  <c r="AR25" i="3"/>
  <c r="AQ25" i="3"/>
  <c r="AP25" i="3"/>
  <c r="AO25" i="3"/>
  <c r="AN25" i="3"/>
  <c r="AM25" i="3"/>
  <c r="AL25" i="3"/>
  <c r="AK25" i="3"/>
  <c r="AJ25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AV24" i="3"/>
  <c r="AU24" i="3"/>
  <c r="AT24" i="3"/>
  <c r="AS24" i="3"/>
  <c r="AR24" i="3"/>
  <c r="AQ24" i="3"/>
  <c r="AP24" i="3"/>
  <c r="AO24" i="3"/>
  <c r="AN24" i="3"/>
  <c r="AM24" i="3"/>
  <c r="AL24" i="3"/>
  <c r="AK24" i="3"/>
  <c r="AJ24" i="3"/>
  <c r="AI24" i="3"/>
  <c r="AH24" i="3"/>
  <c r="AG24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AV23" i="3"/>
  <c r="AU23" i="3"/>
  <c r="AT23" i="3"/>
  <c r="AS23" i="3"/>
  <c r="AR23" i="3"/>
  <c r="AQ23" i="3"/>
  <c r="AP23" i="3"/>
  <c r="AO23" i="3"/>
  <c r="AN23" i="3"/>
  <c r="AM23" i="3"/>
  <c r="AL23" i="3"/>
  <c r="AK23" i="3"/>
  <c r="AJ23" i="3"/>
  <c r="AI23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AV22" i="3"/>
  <c r="AU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AV21" i="3"/>
  <c r="AU21" i="3"/>
  <c r="AT21" i="3"/>
  <c r="AS21" i="3"/>
  <c r="AR21" i="3"/>
  <c r="AQ21" i="3"/>
  <c r="AP21" i="3"/>
  <c r="AO21" i="3"/>
  <c r="AN21" i="3"/>
  <c r="AM21" i="3"/>
  <c r="AL21" i="3"/>
  <c r="AK21" i="3"/>
  <c r="AJ21" i="3"/>
  <c r="AI21" i="3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AV20" i="3"/>
  <c r="AU20" i="3"/>
  <c r="AT20" i="3"/>
  <c r="AS20" i="3"/>
  <c r="AR20" i="3"/>
  <c r="AQ20" i="3"/>
  <c r="AP20" i="3"/>
  <c r="AO20" i="3"/>
  <c r="AN20" i="3"/>
  <c r="AM20" i="3"/>
  <c r="AL20" i="3"/>
  <c r="AK20" i="3"/>
  <c r="AJ20" i="3"/>
  <c r="AI20" i="3"/>
  <c r="AH20" i="3"/>
  <c r="AG20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AV19" i="3"/>
  <c r="AU19" i="3"/>
  <c r="AT19" i="3"/>
  <c r="AS19" i="3"/>
  <c r="AR19" i="3"/>
  <c r="AQ19" i="3"/>
  <c r="AP19" i="3"/>
  <c r="AO19" i="3"/>
  <c r="AN19" i="3"/>
  <c r="AM19" i="3"/>
  <c r="AL19" i="3"/>
  <c r="AK19" i="3"/>
  <c r="AJ19" i="3"/>
  <c r="AI19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AV18" i="3"/>
  <c r="AU18" i="3"/>
  <c r="AT18" i="3"/>
  <c r="AS18" i="3"/>
  <c r="AR18" i="3"/>
  <c r="AQ18" i="3"/>
  <c r="AP18" i="3"/>
  <c r="AO18" i="3"/>
  <c r="AN18" i="3"/>
  <c r="AM18" i="3"/>
  <c r="AL18" i="3"/>
  <c r="AK18" i="3"/>
  <c r="AJ18" i="3"/>
  <c r="AI18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AV17" i="3"/>
  <c r="AU17" i="3"/>
  <c r="AT17" i="3"/>
  <c r="AS17" i="3"/>
  <c r="AR17" i="3"/>
  <c r="AQ17" i="3"/>
  <c r="AP17" i="3"/>
  <c r="AO17" i="3"/>
  <c r="AN17" i="3"/>
  <c r="AM17" i="3"/>
  <c r="AL17" i="3"/>
  <c r="AK17" i="3"/>
  <c r="AJ17" i="3"/>
  <c r="AI17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AV16" i="3"/>
  <c r="AU16" i="3"/>
  <c r="AT16" i="3"/>
  <c r="AS16" i="3"/>
  <c r="AR16" i="3"/>
  <c r="AQ16" i="3"/>
  <c r="AP16" i="3"/>
  <c r="AO16" i="3"/>
  <c r="AN16" i="3"/>
  <c r="AM16" i="3"/>
  <c r="AL16" i="3"/>
  <c r="AK16" i="3"/>
  <c r="AJ16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AV15" i="3"/>
  <c r="AU15" i="3"/>
  <c r="AT15" i="3"/>
  <c r="AS15" i="3"/>
  <c r="AR15" i="3"/>
  <c r="AQ15" i="3"/>
  <c r="AP15" i="3"/>
  <c r="AO15" i="3"/>
  <c r="AN15" i="3"/>
  <c r="AM15" i="3"/>
  <c r="AL15" i="3"/>
  <c r="AK15" i="3"/>
  <c r="AJ15" i="3"/>
  <c r="AI15" i="3"/>
  <c r="AH15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AV14" i="3"/>
  <c r="AU14" i="3"/>
  <c r="AT14" i="3"/>
  <c r="AS14" i="3"/>
  <c r="AR14" i="3"/>
  <c r="AQ14" i="3"/>
  <c r="AP14" i="3"/>
  <c r="AO14" i="3"/>
  <c r="AN14" i="3"/>
  <c r="AM14" i="3"/>
  <c r="AL14" i="3"/>
  <c r="AK14" i="3"/>
  <c r="AJ14" i="3"/>
  <c r="AI14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AV13" i="3"/>
  <c r="AU13" i="3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AV12" i="3"/>
  <c r="AU12" i="3"/>
  <c r="AT12" i="3"/>
  <c r="AS12" i="3"/>
  <c r="AR12" i="3"/>
  <c r="AQ12" i="3"/>
  <c r="AP12" i="3"/>
  <c r="AO12" i="3"/>
  <c r="AN12" i="3"/>
  <c r="AM12" i="3"/>
  <c r="AL12" i="3"/>
  <c r="AK12" i="3"/>
  <c r="AJ12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AV11" i="3"/>
  <c r="AU11" i="3"/>
  <c r="AT11" i="3"/>
  <c r="AS11" i="3"/>
  <c r="AR11" i="3"/>
  <c r="AQ11" i="3"/>
  <c r="AP11" i="3"/>
  <c r="AO11" i="3"/>
  <c r="AN11" i="3"/>
  <c r="AM11" i="3"/>
  <c r="AL11" i="3"/>
  <c r="AK11" i="3"/>
  <c r="AJ11" i="3"/>
  <c r="AI11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AV10" i="3"/>
  <c r="AU10" i="3"/>
  <c r="AT10" i="3"/>
  <c r="AS10" i="3"/>
  <c r="AR10" i="3"/>
  <c r="AQ10" i="3"/>
  <c r="AP10" i="3"/>
  <c r="AO10" i="3"/>
  <c r="AN10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AV9" i="3"/>
  <c r="AU9" i="3"/>
  <c r="AT9" i="3"/>
  <c r="AS9" i="3"/>
  <c r="AR9" i="3"/>
  <c r="AQ9" i="3"/>
  <c r="AP9" i="3"/>
  <c r="AO9" i="3"/>
  <c r="AN9" i="3"/>
  <c r="AM9" i="3"/>
  <c r="AL9" i="3"/>
  <c r="AK9" i="3"/>
  <c r="AJ9" i="3"/>
  <c r="AI9" i="3"/>
  <c r="AH9" i="3"/>
  <c r="AG9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AV8" i="3"/>
  <c r="AU8" i="3"/>
  <c r="AT8" i="3"/>
  <c r="AS8" i="3"/>
  <c r="AR8" i="3"/>
  <c r="AQ8" i="3"/>
  <c r="AP8" i="3"/>
  <c r="AO8" i="3"/>
  <c r="AN8" i="3"/>
  <c r="AM8" i="3"/>
  <c r="AL8" i="3"/>
  <c r="AK8" i="3"/>
  <c r="AJ8" i="3"/>
  <c r="AI8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AV7" i="3"/>
  <c r="AU7" i="3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AV6" i="3"/>
  <c r="AU6" i="3"/>
  <c r="AT6" i="3"/>
  <c r="AS6" i="3"/>
  <c r="AR6" i="3"/>
  <c r="AQ6" i="3"/>
  <c r="AP6" i="3"/>
  <c r="AO6" i="3"/>
  <c r="AN6" i="3"/>
  <c r="AM6" i="3"/>
  <c r="AL6" i="3"/>
  <c r="AK6" i="3"/>
  <c r="AJ6" i="3"/>
  <c r="AI6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AV5" i="3"/>
  <c r="AU5" i="3"/>
  <c r="AT5" i="3"/>
  <c r="AS5" i="3"/>
  <c r="AR5" i="3"/>
  <c r="AQ5" i="3"/>
  <c r="AP5" i="3"/>
  <c r="AO5" i="3"/>
  <c r="AN5" i="3"/>
  <c r="AM5" i="3"/>
  <c r="AL5" i="3"/>
  <c r="AK5" i="3"/>
  <c r="AJ5" i="3"/>
  <c r="AI5" i="3"/>
  <c r="AH5" i="3"/>
  <c r="AG5" i="3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AV4" i="3"/>
  <c r="AU4" i="3"/>
  <c r="AT4" i="3"/>
  <c r="AS4" i="3"/>
  <c r="AR4" i="3"/>
  <c r="AQ4" i="3"/>
  <c r="AP4" i="3"/>
  <c r="AO4" i="3"/>
  <c r="AN4" i="3"/>
  <c r="AM4" i="3"/>
  <c r="AL4" i="3"/>
  <c r="AK4" i="3"/>
  <c r="AJ4" i="3"/>
  <c r="AI4" i="3"/>
  <c r="AH4" i="3"/>
  <c r="AG4" i="3"/>
  <c r="AF4" i="3"/>
  <c r="AE4" i="3"/>
  <c r="AD4" i="3"/>
  <c r="AC4" i="3"/>
  <c r="AB4" i="3"/>
  <c r="AA4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A4" i="3"/>
  <c r="A4" i="6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4" i="2"/>
  <c r="N39" i="2" s="1"/>
  <c r="AD6" i="4"/>
  <c r="C6" i="4"/>
  <c r="D37" i="6" s="1"/>
  <c r="AD5" i="4"/>
  <c r="AD3" i="4"/>
  <c r="AD2" i="4"/>
  <c r="AD9" i="4" s="1"/>
  <c r="C7" i="4" l="1"/>
  <c r="A38" i="6"/>
  <c r="A5" i="2"/>
  <c r="Q39" i="2"/>
  <c r="B38" i="6"/>
  <c r="A5" i="3"/>
  <c r="A6" i="3" l="1"/>
  <c r="A5" i="6"/>
  <c r="Q40" i="2"/>
  <c r="A6" i="2"/>
  <c r="Q41" i="2" l="1"/>
  <c r="A7" i="2"/>
  <c r="A6" i="6"/>
  <c r="A7" i="3"/>
  <c r="A8" i="3" l="1"/>
  <c r="A7" i="6"/>
  <c r="Q42" i="2"/>
  <c r="A8" i="2"/>
  <c r="Q43" i="2" l="1"/>
  <c r="A9" i="2"/>
  <c r="A8" i="6"/>
  <c r="A9" i="3"/>
  <c r="A10" i="3" l="1"/>
  <c r="A9" i="6"/>
  <c r="Q44" i="2"/>
  <c r="A10" i="2"/>
  <c r="Q45" i="2" l="1"/>
  <c r="A11" i="2"/>
  <c r="A10" i="6"/>
  <c r="A11" i="3"/>
  <c r="A12" i="3" l="1"/>
  <c r="A11" i="6"/>
  <c r="Q46" i="2"/>
  <c r="A12" i="2"/>
  <c r="Q47" i="2" l="1"/>
  <c r="A13" i="2"/>
  <c r="A12" i="6"/>
  <c r="A13" i="3"/>
  <c r="A14" i="3" l="1"/>
  <c r="A13" i="6"/>
  <c r="A14" i="2"/>
  <c r="Q48" i="2"/>
  <c r="Q49" i="2" l="1"/>
  <c r="A15" i="2"/>
  <c r="A14" i="6"/>
  <c r="A15" i="3"/>
  <c r="Q50" i="2" l="1"/>
  <c r="A16" i="2"/>
  <c r="A16" i="3"/>
  <c r="A15" i="6"/>
  <c r="A16" i="6" l="1"/>
  <c r="A17" i="3"/>
  <c r="A17" i="2"/>
  <c r="Q51" i="2"/>
  <c r="Q52" i="2" l="1"/>
  <c r="A18" i="2"/>
  <c r="A18" i="3"/>
  <c r="A17" i="6"/>
  <c r="Q53" i="2" l="1"/>
  <c r="A19" i="2"/>
  <c r="A18" i="6"/>
  <c r="A19" i="3"/>
  <c r="Q54" i="2" l="1"/>
  <c r="A20" i="2"/>
  <c r="A20" i="3"/>
  <c r="A19" i="6"/>
  <c r="Q55" i="2" l="1"/>
  <c r="A21" i="2"/>
  <c r="A20" i="6"/>
  <c r="A21" i="3"/>
  <c r="A22" i="3" l="1"/>
  <c r="A21" i="6"/>
  <c r="Q56" i="2"/>
  <c r="A22" i="2"/>
  <c r="Q57" i="2" l="1"/>
  <c r="A23" i="2"/>
  <c r="A22" i="6"/>
  <c r="A23" i="3"/>
  <c r="A24" i="2" l="1"/>
  <c r="Q58" i="2"/>
  <c r="A24" i="3"/>
  <c r="A23" i="6"/>
  <c r="A24" i="6" l="1"/>
  <c r="A25" i="3"/>
  <c r="Q59" i="2"/>
  <c r="A25" i="2"/>
  <c r="Q60" i="2" l="1"/>
  <c r="A26" i="2"/>
  <c r="A26" i="3"/>
  <c r="A25" i="6"/>
  <c r="A26" i="6" l="1"/>
  <c r="A27" i="3"/>
  <c r="Q61" i="2"/>
  <c r="A27" i="2"/>
  <c r="A28" i="3" l="1"/>
  <c r="A27" i="6"/>
  <c r="A28" i="2"/>
  <c r="Q62" i="2"/>
  <c r="Q63" i="2" l="1"/>
  <c r="A29" i="2"/>
  <c r="A30" i="2" s="1"/>
  <c r="A31" i="2" s="1"/>
  <c r="A32" i="2" s="1"/>
  <c r="A33" i="2" s="1"/>
  <c r="A34" i="2" s="1"/>
  <c r="A35" i="2" s="1"/>
  <c r="D38" i="6"/>
  <c r="A28" i="6"/>
  <c r="A29" i="3"/>
  <c r="A30" i="3" l="1"/>
  <c r="A29" i="6"/>
  <c r="B28" i="6"/>
  <c r="D28" i="6"/>
  <c r="C28" i="6"/>
  <c r="B4" i="6"/>
  <c r="B6" i="6"/>
  <c r="C9" i="6"/>
  <c r="D12" i="6"/>
  <c r="C14" i="6"/>
  <c r="C17" i="6"/>
  <c r="C20" i="6"/>
  <c r="C22" i="6"/>
  <c r="C25" i="6"/>
  <c r="B14" i="6"/>
  <c r="C11" i="6"/>
  <c r="D4" i="6"/>
  <c r="D7" i="6"/>
  <c r="B9" i="6"/>
  <c r="C12" i="6"/>
  <c r="D15" i="6"/>
  <c r="B17" i="6"/>
  <c r="D20" i="6"/>
  <c r="D23" i="6"/>
  <c r="B25" i="6"/>
  <c r="B11" i="6"/>
  <c r="B24" i="6"/>
  <c r="D17" i="6"/>
  <c r="C4" i="6"/>
  <c r="C7" i="6"/>
  <c r="B10" i="6"/>
  <c r="B12" i="6"/>
  <c r="B15" i="6"/>
  <c r="B18" i="6"/>
  <c r="B20" i="6"/>
  <c r="C23" i="6"/>
  <c r="B26" i="6"/>
  <c r="B27" i="6"/>
  <c r="C27" i="6"/>
  <c r="D11" i="6"/>
  <c r="D19" i="6"/>
  <c r="D6" i="6"/>
  <c r="D25" i="6"/>
  <c r="D5" i="6"/>
  <c r="B7" i="6"/>
  <c r="D10" i="6"/>
  <c r="C13" i="6"/>
  <c r="C15" i="6"/>
  <c r="D18" i="6"/>
  <c r="D21" i="6"/>
  <c r="B23" i="6"/>
  <c r="C26" i="6"/>
  <c r="C8" i="6"/>
  <c r="B16" i="6"/>
  <c r="C24" i="6"/>
  <c r="D16" i="6"/>
  <c r="B22" i="6"/>
  <c r="D14" i="6"/>
  <c r="D22" i="6"/>
  <c r="C5" i="6"/>
  <c r="B8" i="6"/>
  <c r="C10" i="6"/>
  <c r="D13" i="6"/>
  <c r="C16" i="6"/>
  <c r="C18" i="6"/>
  <c r="C21" i="6"/>
  <c r="D24" i="6"/>
  <c r="D26" i="6"/>
  <c r="D27" i="6"/>
  <c r="B5" i="6"/>
  <c r="B13" i="6"/>
  <c r="B21" i="6"/>
  <c r="D8" i="6"/>
  <c r="C19" i="6"/>
  <c r="D9" i="6"/>
  <c r="B19" i="6"/>
  <c r="C6" i="6"/>
  <c r="H37" i="6" l="1"/>
  <c r="H36" i="6"/>
  <c r="H35" i="6"/>
  <c r="A30" i="6"/>
  <c r="A31" i="3"/>
  <c r="D29" i="6"/>
  <c r="C29" i="6"/>
  <c r="B29" i="6"/>
  <c r="A32" i="3" l="1"/>
  <c r="A31" i="6"/>
  <c r="B30" i="6"/>
  <c r="D30" i="6"/>
  <c r="C30" i="6"/>
  <c r="D31" i="6" l="1"/>
  <c r="C31" i="6"/>
  <c r="B31" i="6"/>
  <c r="A32" i="6"/>
  <c r="A33" i="3"/>
  <c r="A34" i="3" l="1"/>
  <c r="A33" i="6"/>
  <c r="B32" i="6"/>
  <c r="D32" i="6"/>
  <c r="C32" i="6"/>
  <c r="D33" i="6" l="1"/>
  <c r="C33" i="6"/>
  <c r="B33" i="6"/>
  <c r="A34" i="6"/>
  <c r="A35" i="3"/>
  <c r="A35" i="6" s="1"/>
  <c r="D35" i="6" l="1"/>
  <c r="C35" i="6"/>
  <c r="B35" i="6"/>
  <c r="B34" i="6"/>
  <c r="D34" i="6"/>
  <c r="C34" i="6"/>
</calcChain>
</file>

<file path=xl/sharedStrings.xml><?xml version="1.0" encoding="utf-8"?>
<sst xmlns="http://schemas.openxmlformats.org/spreadsheetml/2006/main" count="324" uniqueCount="156">
  <si>
    <t>Run Date Synchronization</t>
  </si>
  <si>
    <t>Elevation</t>
  </si>
  <si>
    <t>Outflow</t>
  </si>
  <si>
    <t>Spill</t>
  </si>
  <si>
    <t xml:space="preserve">Blue Mesa </t>
  </si>
  <si>
    <t>Taylor Park</t>
  </si>
  <si>
    <t>Flaming Gorge</t>
  </si>
  <si>
    <t>Fontenelle</t>
  </si>
  <si>
    <t>Crystal</t>
  </si>
  <si>
    <t>Vallecito</t>
  </si>
  <si>
    <t>Navajo</t>
  </si>
  <si>
    <t>Powell</t>
  </si>
  <si>
    <t>Mead</t>
  </si>
  <si>
    <t>Energy</t>
  </si>
  <si>
    <t>Mohave</t>
  </si>
  <si>
    <t>Havasu</t>
  </si>
  <si>
    <t>PumpingFromLakeMead:SNWP</t>
  </si>
  <si>
    <t>MWDDiversion</t>
  </si>
  <si>
    <t>CAPDiversion</t>
  </si>
  <si>
    <t>Diversion Requested</t>
  </si>
  <si>
    <t>Fontenelle.Outflow</t>
  </si>
  <si>
    <t>Fontenelle.Spill</t>
  </si>
  <si>
    <t>Havasu.Energy</t>
  </si>
  <si>
    <t>Havasu.Outflow</t>
  </si>
  <si>
    <t>Havasu.Pool Elevation</t>
  </si>
  <si>
    <t>Font_Spill</t>
  </si>
  <si>
    <t>Font_Out</t>
  </si>
  <si>
    <t>Font_Elev</t>
  </si>
  <si>
    <t>ID</t>
  </si>
  <si>
    <t>Slot</t>
  </si>
  <si>
    <t>Excel Name</t>
  </si>
  <si>
    <t>Slots to be Compared</t>
  </si>
  <si>
    <t>Hav_Elev</t>
  </si>
  <si>
    <t>Hav_Out</t>
  </si>
  <si>
    <t>Hav_Egy</t>
  </si>
  <si>
    <t>SNWP_DivReq</t>
  </si>
  <si>
    <t>MWD_DivReq</t>
  </si>
  <si>
    <t>24 Month Study</t>
  </si>
  <si>
    <t>Difference</t>
  </si>
  <si>
    <t>FG_Elev</t>
  </si>
  <si>
    <t>FlamingGorge.Outflow</t>
  </si>
  <si>
    <t>FG_Out</t>
  </si>
  <si>
    <t>FlamingGorge.Spill</t>
  </si>
  <si>
    <t>FG_Spill</t>
  </si>
  <si>
    <t>TP_Elev</t>
  </si>
  <si>
    <t>TaylorPark.Pool Elevation</t>
  </si>
  <si>
    <t>FlamingGorge.Pool Elevation</t>
  </si>
  <si>
    <t>Fontenelle.Pool Elevation</t>
  </si>
  <si>
    <t>TaylorPark.Outflow</t>
  </si>
  <si>
    <t>TP_Out</t>
  </si>
  <si>
    <t>BlueMesa.Pool Elevation</t>
  </si>
  <si>
    <t>BM_Elev</t>
  </si>
  <si>
    <t>BlueMesa.Outflow</t>
  </si>
  <si>
    <t>BM_Out</t>
  </si>
  <si>
    <t>BlueMesa.Spill</t>
  </si>
  <si>
    <t>BM_Spill</t>
  </si>
  <si>
    <t>24-Month Study Model Values</t>
  </si>
  <si>
    <t>x1 axis min</t>
  </si>
  <si>
    <t>x2 axis min</t>
  </si>
  <si>
    <t>x2 axis max</t>
  </si>
  <si>
    <t>auto</t>
  </si>
  <si>
    <t>override</t>
  </si>
  <si>
    <t>MOM Model Output</t>
  </si>
  <si>
    <t>Model Compare Values</t>
  </si>
  <si>
    <t>Crystal.Pool Elevation</t>
  </si>
  <si>
    <t>Crystal.Outflow</t>
  </si>
  <si>
    <t>Crystal.Spill</t>
  </si>
  <si>
    <t>Cry_Elev</t>
  </si>
  <si>
    <t>Cry_Out</t>
  </si>
  <si>
    <t>Cry_Spill</t>
  </si>
  <si>
    <t>Vallecito.Outflow</t>
  </si>
  <si>
    <t>Vallecito.Pool Elevation</t>
  </si>
  <si>
    <t>Val_Elev</t>
  </si>
  <si>
    <t>Val_Out</t>
  </si>
  <si>
    <t>Powell.Pool Elevation</t>
  </si>
  <si>
    <t>Powell.Outflow</t>
  </si>
  <si>
    <t>Powell.Spill</t>
  </si>
  <si>
    <t>Pow_Elev</t>
  </si>
  <si>
    <t>Pow_Out</t>
  </si>
  <si>
    <t>Pow_Spill</t>
  </si>
  <si>
    <t>Mead.Pool Elevation</t>
  </si>
  <si>
    <t>Mead.Outflow</t>
  </si>
  <si>
    <t>Md_Elev</t>
  </si>
  <si>
    <t>Md_Out</t>
  </si>
  <si>
    <t>Mead.Energy</t>
  </si>
  <si>
    <t>Md_Egy</t>
  </si>
  <si>
    <t>Navajo.Pool Elevation</t>
  </si>
  <si>
    <t>Navajo.Outflow</t>
  </si>
  <si>
    <t>Navajo.Spill</t>
  </si>
  <si>
    <t>Nav_Elev</t>
  </si>
  <si>
    <t>Nav_Out</t>
  </si>
  <si>
    <t>Nav_Spill</t>
  </si>
  <si>
    <t>Mohave.Pool Elevation</t>
  </si>
  <si>
    <t>Mohave.Outflow</t>
  </si>
  <si>
    <t>Mohave.Energy</t>
  </si>
  <si>
    <t>Mo_Elev</t>
  </si>
  <si>
    <t>Mo_Out</t>
  </si>
  <si>
    <t>Mo_Egy</t>
  </si>
  <si>
    <t>CAP_DivReq</t>
  </si>
  <si>
    <t>MTOM Model Output</t>
  </si>
  <si>
    <t>MTOM</t>
  </si>
  <si>
    <t>Model Run Dates</t>
  </si>
  <si>
    <t xml:space="preserve"> Nothing in Excel guarantees consistent units.</t>
  </si>
  <si>
    <t>Run Duration</t>
  </si>
  <si>
    <t>Durations</t>
  </si>
  <si>
    <t>Date of Run</t>
  </si>
  <si>
    <t>Run Start Date</t>
  </si>
  <si>
    <t>Run Duration (months)</t>
  </si>
  <si>
    <t>Fontenelle.Inflow</t>
  </si>
  <si>
    <t>Font_In</t>
  </si>
  <si>
    <t>FlamingGorge.Inflow</t>
  </si>
  <si>
    <t>FlamingGorge.UnregInflow</t>
  </si>
  <si>
    <t>FG_In</t>
  </si>
  <si>
    <t>FGIn_Unreg</t>
  </si>
  <si>
    <t>TaylorPark.Inflow</t>
  </si>
  <si>
    <t>TP_In</t>
  </si>
  <si>
    <t>BlueMesa.Inflow</t>
  </si>
  <si>
    <t>BlueMesa.UnregInflow</t>
  </si>
  <si>
    <t>BM_In</t>
  </si>
  <si>
    <t>BMIn_Unreg</t>
  </si>
  <si>
    <t>Vallecito.Inflow</t>
  </si>
  <si>
    <t>Val_In</t>
  </si>
  <si>
    <t>Navajo.Inflow</t>
  </si>
  <si>
    <t>Navajo.UnregInflow</t>
  </si>
  <si>
    <t>Nav_In</t>
  </si>
  <si>
    <t>NavIn_Unreg</t>
  </si>
  <si>
    <t>Powell.Inflow</t>
  </si>
  <si>
    <t>Powell.UnregInflow</t>
  </si>
  <si>
    <t>Powell.Storage</t>
  </si>
  <si>
    <t>Powell.Evaporation</t>
  </si>
  <si>
    <t>Pow_Evap</t>
  </si>
  <si>
    <t>PowIn_Unreg</t>
  </si>
  <si>
    <t>Pow_In</t>
  </si>
  <si>
    <t>Pow_Storage</t>
  </si>
  <si>
    <t>Inflow</t>
  </si>
  <si>
    <t>Unreg Inflow</t>
  </si>
  <si>
    <t>Storage</t>
  </si>
  <si>
    <t>Evaporation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</si>
  <si>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</si>
  <si>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</si>
  <si>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</si>
  <si>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</si>
  <si>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</si>
  <si>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</si>
  <si>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</si>
  <si>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</si>
  <si>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</si>
  <si>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</si>
  <si>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</si>
  <si>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</si>
  <si>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Duration</t>
  </si>
  <si>
    <t>Month No</t>
  </si>
  <si>
    <t>Month Date</t>
  </si>
  <si>
    <t>Max Days of Month</t>
  </si>
  <si>
    <t>Month</t>
  </si>
  <si>
    <t xml:space="preserve">Watch units compatibility between output from the two models.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</si>
</sst>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409]mmmm\-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 tint="-0.14999847407452621"/>
      <name val="Calibri"/>
      <family val="2"/>
      <scheme val="minor"/>
    </font>
    <font>
      <b/>
      <sz val="14"/>
      <color theme="4" tint="0.79995117038483843"/>
      <name val="Calibri"/>
      <family val="2"/>
      <scheme val="minor"/>
    </font>
    <font>
      <b/>
      <sz val="14"/>
      <color theme="5" tint="0.79995117038483843"/>
      <name val="Calibri"/>
      <family val="2"/>
      <scheme val="minor"/>
    </font>
    <font>
      <b/>
      <sz val="14"/>
      <color theme="6" tint="0.79995117038483843"/>
      <name val="Calibri"/>
      <family val="2"/>
      <scheme val="minor"/>
    </font>
    <font>
      <b/>
      <sz val="14"/>
      <color theme="3" tint="0.79995117038483843"/>
      <name val="Calibri"/>
      <family val="2"/>
      <scheme val="minor"/>
    </font>
    <font>
      <sz val="11"/>
      <color theme="1" tint="4.9012726218451493E-2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2" tint="-9.9978637043366805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6" tint="0.7999511703848384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0">
    <xf numFmtId="0" fontId="0" fillId="0" borderId="0" xfId="0"/>
    <xf numFmtId="0" fontId="0" fillId="2" borderId="0" xfId="0" applyFill="1"/>
    <xf numFmtId="0" fontId="1" fillId="3" borderId="15" xfId="0" applyFont="1" applyFill="1" applyBorder="1"/>
    <xf numFmtId="0" fontId="1" fillId="6" borderId="14" xfId="0" applyFont="1" applyFill="1" applyBorder="1"/>
    <xf numFmtId="0" fontId="0" fillId="3" borderId="7" xfId="0" applyFill="1" applyBorder="1"/>
    <xf numFmtId="0" fontId="0" fillId="3" borderId="10" xfId="0" applyFill="1" applyBorder="1"/>
    <xf numFmtId="2" fontId="0" fillId="4" borderId="1" xfId="0" applyNumberFormat="1" applyFill="1" applyBorder="1"/>
    <xf numFmtId="2" fontId="0" fillId="4" borderId="2" xfId="0" applyNumberFormat="1" applyFill="1" applyBorder="1"/>
    <xf numFmtId="2" fontId="0" fillId="4" borderId="3" xfId="0" applyNumberFormat="1" applyFill="1" applyBorder="1"/>
    <xf numFmtId="2" fontId="0" fillId="4" borderId="7" xfId="0" applyNumberFormat="1" applyFill="1" applyBorder="1"/>
    <xf numFmtId="2" fontId="0" fillId="4" borderId="6" xfId="0" applyNumberFormat="1" applyFill="1" applyBorder="1"/>
    <xf numFmtId="2" fontId="0" fillId="4" borderId="0" xfId="0" applyNumberFormat="1" applyFill="1" applyBorder="1"/>
    <xf numFmtId="2" fontId="0" fillId="4" borderId="12" xfId="0" applyNumberFormat="1" applyFill="1" applyBorder="1"/>
    <xf numFmtId="2" fontId="0" fillId="4" borderId="8" xfId="0" applyNumberFormat="1" applyFill="1" applyBorder="1"/>
    <xf numFmtId="2" fontId="0" fillId="4" borderId="9" xfId="0" applyNumberFormat="1" applyFill="1" applyBorder="1"/>
    <xf numFmtId="2" fontId="0" fillId="4" borderId="11" xfId="0" applyNumberFormat="1" applyFill="1" applyBorder="1"/>
    <xf numFmtId="2" fontId="0" fillId="4" borderId="13" xfId="0" applyNumberFormat="1" applyFill="1" applyBorder="1"/>
    <xf numFmtId="2" fontId="0" fillId="4" borderId="10" xfId="0" applyNumberFormat="1" applyFill="1" applyBorder="1"/>
    <xf numFmtId="0" fontId="1" fillId="3" borderId="14" xfId="0" applyFont="1" applyFill="1" applyBorder="1"/>
    <xf numFmtId="0" fontId="1" fillId="3" borderId="6" xfId="0" applyFont="1" applyFill="1" applyBorder="1"/>
    <xf numFmtId="0" fontId="1" fillId="3" borderId="0" xfId="0" applyFont="1" applyFill="1" applyBorder="1"/>
    <xf numFmtId="0" fontId="1" fillId="3" borderId="12" xfId="0" applyFont="1" applyFill="1" applyBorder="1"/>
    <xf numFmtId="0" fontId="1" fillId="3" borderId="8" xfId="0" applyFont="1" applyFill="1" applyBorder="1"/>
    <xf numFmtId="14" fontId="0" fillId="3" borderId="8" xfId="0" applyNumberFormat="1" applyFont="1" applyFill="1" applyBorder="1"/>
    <xf numFmtId="14" fontId="0" fillId="3" borderId="10" xfId="0" applyNumberFormat="1" applyFont="1" applyFill="1" applyBorder="1"/>
    <xf numFmtId="0" fontId="1" fillId="6" borderId="15" xfId="0" applyFont="1" applyFill="1" applyBorder="1"/>
    <xf numFmtId="0" fontId="1" fillId="6" borderId="9" xfId="0" applyFont="1" applyFill="1" applyBorder="1"/>
    <xf numFmtId="0" fontId="1" fillId="6" borderId="11" xfId="0" applyFont="1" applyFill="1" applyBorder="1"/>
    <xf numFmtId="0" fontId="1" fillId="6" borderId="13" xfId="0" applyFont="1" applyFill="1" applyBorder="1"/>
    <xf numFmtId="0" fontId="1" fillId="6" borderId="10" xfId="0" applyFont="1" applyFill="1" applyBorder="1"/>
    <xf numFmtId="0" fontId="0" fillId="6" borderId="7" xfId="0" applyFill="1" applyBorder="1"/>
    <xf numFmtId="0" fontId="0" fillId="6" borderId="8" xfId="0" applyFill="1" applyBorder="1"/>
    <xf numFmtId="14" fontId="0" fillId="6" borderId="8" xfId="0" applyNumberFormat="1" applyFill="1" applyBorder="1"/>
    <xf numFmtId="0" fontId="1" fillId="5" borderId="15" xfId="0" applyFont="1" applyFill="1" applyBorder="1"/>
    <xf numFmtId="0" fontId="1" fillId="5" borderId="14" xfId="0" applyFont="1" applyFill="1" applyBorder="1"/>
    <xf numFmtId="0" fontId="7" fillId="2" borderId="0" xfId="0" applyFont="1" applyFill="1"/>
    <xf numFmtId="0" fontId="0" fillId="2" borderId="1" xfId="0" applyFill="1" applyBorder="1"/>
    <xf numFmtId="164" fontId="0" fillId="4" borderId="2" xfId="0" applyNumberFormat="1" applyFill="1" applyBorder="1"/>
    <xf numFmtId="164" fontId="0" fillId="4" borderId="0" xfId="0" applyNumberFormat="1" applyFill="1" applyBorder="1"/>
    <xf numFmtId="164" fontId="0" fillId="4" borderId="11" xfId="0" applyNumberFormat="1" applyFill="1" applyBorder="1"/>
    <xf numFmtId="1" fontId="0" fillId="4" borderId="2" xfId="0" applyNumberFormat="1" applyFill="1" applyBorder="1"/>
    <xf numFmtId="1" fontId="0" fillId="4" borderId="0" xfId="0" applyNumberFormat="1" applyFill="1" applyBorder="1"/>
    <xf numFmtId="1" fontId="0" fillId="4" borderId="11" xfId="0" applyNumberFormat="1" applyFill="1" applyBorder="1"/>
    <xf numFmtId="14" fontId="0" fillId="6" borderId="6" xfId="0" applyNumberFormat="1" applyFill="1" applyBorder="1"/>
    <xf numFmtId="14" fontId="0" fillId="6" borderId="9" xfId="0" applyNumberFormat="1" applyFill="1" applyBorder="1"/>
    <xf numFmtId="0" fontId="1" fillId="5" borderId="6" xfId="0" applyFont="1" applyFill="1" applyBorder="1"/>
    <xf numFmtId="0" fontId="1" fillId="5" borderId="0" xfId="0" applyFont="1" applyFill="1" applyBorder="1"/>
    <xf numFmtId="0" fontId="1" fillId="5" borderId="12" xfId="0" applyFont="1" applyFill="1" applyBorder="1"/>
    <xf numFmtId="0" fontId="1" fillId="5" borderId="8" xfId="0" applyFont="1" applyFill="1" applyBorder="1"/>
    <xf numFmtId="14" fontId="0" fillId="5" borderId="6" xfId="0" applyNumberFormat="1" applyFill="1" applyBorder="1"/>
    <xf numFmtId="14" fontId="0" fillId="5" borderId="9" xfId="0" applyNumberFormat="1" applyFill="1" applyBorder="1"/>
    <xf numFmtId="0" fontId="0" fillId="5" borderId="1" xfId="0" applyFill="1" applyBorder="1"/>
    <xf numFmtId="0" fontId="0" fillId="5" borderId="6" xfId="0" applyFill="1" applyBorder="1"/>
    <xf numFmtId="14" fontId="0" fillId="5" borderId="1" xfId="0" applyNumberFormat="1" applyFill="1" applyBorder="1"/>
    <xf numFmtId="2" fontId="0" fillId="6" borderId="0" xfId="0" applyNumberFormat="1" applyFill="1" applyBorder="1"/>
    <xf numFmtId="14" fontId="0" fillId="4" borderId="6" xfId="0" applyNumberFormat="1" applyFill="1" applyBorder="1"/>
    <xf numFmtId="14" fontId="0" fillId="4" borderId="9" xfId="0" applyNumberFormat="1" applyFill="1" applyBorder="1"/>
    <xf numFmtId="0" fontId="1" fillId="4" borderId="4" xfId="0" applyFont="1" applyFill="1" applyBorder="1"/>
    <xf numFmtId="2" fontId="0" fillId="3" borderId="8" xfId="0" applyNumberFormat="1" applyFill="1" applyBorder="1"/>
    <xf numFmtId="2" fontId="0" fillId="5" borderId="8" xfId="0" applyNumberFormat="1" applyFill="1" applyBorder="1"/>
    <xf numFmtId="0" fontId="6" fillId="2" borderId="15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14" fontId="0" fillId="2" borderId="0" xfId="0" applyNumberFormat="1" applyFill="1"/>
    <xf numFmtId="14" fontId="0" fillId="0" borderId="0" xfId="0" applyNumberFormat="1"/>
    <xf numFmtId="2" fontId="0" fillId="0" borderId="0" xfId="0" applyNumberFormat="1"/>
    <xf numFmtId="0" fontId="9" fillId="2" borderId="0" xfId="0" applyFont="1" applyFill="1"/>
    <xf numFmtId="0" fontId="9" fillId="0" borderId="0" xfId="0" applyFont="1"/>
    <xf numFmtId="2" fontId="9" fillId="0" borderId="0" xfId="0" applyNumberFormat="1" applyFont="1"/>
    <xf numFmtId="0" fontId="10" fillId="2" borderId="0" xfId="0" applyFont="1" applyFill="1"/>
    <xf numFmtId="2" fontId="0" fillId="4" borderId="1" xfId="0" applyNumberFormat="1" applyFill="1" applyBorder="1"/>
    <xf numFmtId="2" fontId="0" fillId="4" borderId="2" xfId="0" applyNumberFormat="1" applyFill="1" applyBorder="1"/>
    <xf numFmtId="2" fontId="0" fillId="4" borderId="3" xfId="0" applyNumberFormat="1" applyFill="1" applyBorder="1"/>
    <xf numFmtId="2" fontId="0" fillId="4" borderId="7" xfId="0" applyNumberFormat="1" applyFill="1" applyBorder="1"/>
    <xf numFmtId="2" fontId="0" fillId="4" borderId="6" xfId="0" applyNumberFormat="1" applyFill="1" applyBorder="1"/>
    <xf numFmtId="2" fontId="0" fillId="4" borderId="0" xfId="0" applyNumberFormat="1" applyFill="1" applyBorder="1"/>
    <xf numFmtId="2" fontId="0" fillId="4" borderId="12" xfId="0" applyNumberFormat="1" applyFill="1" applyBorder="1"/>
    <xf numFmtId="2" fontId="0" fillId="4" borderId="8" xfId="0" applyNumberFormat="1" applyFill="1" applyBorder="1"/>
    <xf numFmtId="1" fontId="0" fillId="4" borderId="2" xfId="0" applyNumberFormat="1" applyFill="1" applyBorder="1"/>
    <xf numFmtId="1" fontId="0" fillId="4" borderId="0" xfId="0" applyNumberFormat="1" applyFill="1" applyBorder="1"/>
    <xf numFmtId="0" fontId="12" fillId="0" borderId="0" xfId="0" applyFont="1"/>
    <xf numFmtId="22" fontId="12" fillId="0" borderId="0" xfId="0" applyNumberFormat="1" applyFont="1"/>
    <xf numFmtId="0" fontId="12" fillId="2" borderId="0" xfId="0" applyFont="1" applyFill="1"/>
    <xf numFmtId="0" fontId="12" fillId="2" borderId="0" xfId="0" applyFont="1" applyFill="1" applyBorder="1"/>
    <xf numFmtId="0" fontId="14" fillId="5" borderId="4" xfId="0" applyFont="1" applyFill="1" applyBorder="1" applyAlignment="1">
      <alignment horizontal="center"/>
    </xf>
    <xf numFmtId="0" fontId="14" fillId="5" borderId="14" xfId="0" applyFont="1" applyFill="1" applyBorder="1" applyAlignment="1">
      <alignment horizontal="center"/>
    </xf>
    <xf numFmtId="0" fontId="14" fillId="5" borderId="5" xfId="0" applyFont="1" applyFill="1" applyBorder="1" applyAlignment="1">
      <alignment horizontal="center"/>
    </xf>
    <xf numFmtId="0" fontId="15" fillId="2" borderId="14" xfId="0" applyFont="1" applyFill="1" applyBorder="1" applyAlignment="1">
      <alignment horizontal="center"/>
    </xf>
    <xf numFmtId="0" fontId="12" fillId="7" borderId="14" xfId="0" applyFont="1" applyFill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12" fillId="3" borderId="6" xfId="0" applyFont="1" applyFill="1" applyBorder="1"/>
    <xf numFmtId="14" fontId="12" fillId="4" borderId="7" xfId="0" applyNumberFormat="1" applyFont="1" applyFill="1" applyBorder="1" applyAlignment="1">
      <alignment horizontal="center"/>
    </xf>
    <xf numFmtId="0" fontId="12" fillId="5" borderId="7" xfId="0" applyFont="1" applyFill="1" applyBorder="1" applyAlignment="1">
      <alignment horizontal="center"/>
    </xf>
    <xf numFmtId="0" fontId="12" fillId="4" borderId="7" xfId="0" applyFont="1" applyFill="1" applyBorder="1"/>
    <xf numFmtId="0" fontId="12" fillId="4" borderId="12" xfId="0" applyFont="1" applyFill="1" applyBorder="1"/>
    <xf numFmtId="0" fontId="12" fillId="4" borderId="1" xfId="0" applyFont="1" applyFill="1" applyBorder="1"/>
    <xf numFmtId="165" fontId="12" fillId="4" borderId="8" xfId="0" applyNumberFormat="1" applyFont="1" applyFill="1" applyBorder="1" applyAlignment="1">
      <alignment horizontal="center"/>
    </xf>
    <xf numFmtId="0" fontId="12" fillId="5" borderId="8" xfId="0" applyFont="1" applyFill="1" applyBorder="1" applyAlignment="1">
      <alignment horizontal="center"/>
    </xf>
    <xf numFmtId="0" fontId="12" fillId="4" borderId="8" xfId="0" applyFont="1" applyFill="1" applyBorder="1"/>
    <xf numFmtId="0" fontId="12" fillId="4" borderId="6" xfId="0" applyFont="1" applyFill="1" applyBorder="1"/>
    <xf numFmtId="14" fontId="12" fillId="7" borderId="14" xfId="0" applyNumberFormat="1" applyFont="1" applyFill="1" applyBorder="1" applyAlignment="1">
      <alignment horizontal="center"/>
    </xf>
    <xf numFmtId="0" fontId="12" fillId="3" borderId="9" xfId="0" applyFont="1" applyFill="1" applyBorder="1"/>
    <xf numFmtId="1" fontId="12" fillId="4" borderId="10" xfId="0" applyNumberFormat="1" applyFont="1" applyFill="1" applyBorder="1" applyAlignment="1">
      <alignment horizontal="center"/>
    </xf>
    <xf numFmtId="0" fontId="12" fillId="2" borderId="11" xfId="0" applyFont="1" applyFill="1" applyBorder="1"/>
    <xf numFmtId="0" fontId="12" fillId="4" borderId="9" xfId="0" applyFont="1" applyFill="1" applyBorder="1"/>
    <xf numFmtId="0" fontId="12" fillId="4" borderId="10" xfId="0" applyFont="1" applyFill="1" applyBorder="1"/>
    <xf numFmtId="0" fontId="12" fillId="5" borderId="10" xfId="0" applyFont="1" applyFill="1" applyBorder="1" applyAlignment="1">
      <alignment horizontal="center"/>
    </xf>
    <xf numFmtId="0" fontId="12" fillId="4" borderId="13" xfId="0" applyFont="1" applyFill="1" applyBorder="1"/>
    <xf numFmtId="0" fontId="13" fillId="2" borderId="11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/>
    </xf>
    <xf numFmtId="0" fontId="14" fillId="3" borderId="5" xfId="0" applyFont="1" applyFill="1" applyBorder="1" applyAlignment="1">
      <alignment horizontal="center"/>
    </xf>
    <xf numFmtId="0" fontId="11" fillId="2" borderId="11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6" borderId="15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1" fillId="5" borderId="15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Comparison</a:t>
            </a:r>
            <a:r>
              <a:rPr lang="en-US" baseline="0"/>
              <a:t> Values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1127880626447842E-2"/>
          <c:y val="0.10887420951575692"/>
          <c:w val="0.71549769078032788"/>
          <c:h val="0.8296473427398846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Compare_Plots!$B$3</c:f>
              <c:strCache>
                <c:ptCount val="1"/>
                <c:pt idx="0">
                  <c:v>24 Month Study</c:v>
                </c:pt>
              </c:strCache>
            </c:strRef>
          </c:tx>
          <c:xVal>
            <c:numRef>
              <c:f>Compare_Plots!$A$4:$A$27</c:f>
              <c:numCache>
                <c:formatCode>m/d/yyyy</c:formatCode>
                <c:ptCount val="24"/>
                <c:pt idx="0">
                  <c:v>44135</c:v>
                </c:pt>
                <c:pt idx="1">
                  <c:v>44165</c:v>
                </c:pt>
                <c:pt idx="2">
                  <c:v>44196</c:v>
                </c:pt>
                <c:pt idx="3">
                  <c:v>44227</c:v>
                </c:pt>
                <c:pt idx="4">
                  <c:v>44255</c:v>
                </c:pt>
                <c:pt idx="5">
                  <c:v>44286</c:v>
                </c:pt>
                <c:pt idx="6">
                  <c:v>44316</c:v>
                </c:pt>
                <c:pt idx="7">
                  <c:v>44347</c:v>
                </c:pt>
                <c:pt idx="8">
                  <c:v>44377</c:v>
                </c:pt>
                <c:pt idx="9">
                  <c:v>44408</c:v>
                </c:pt>
                <c:pt idx="10">
                  <c:v>44439</c:v>
                </c:pt>
                <c:pt idx="11">
                  <c:v>44469</c:v>
                </c:pt>
                <c:pt idx="12">
                  <c:v>44500</c:v>
                </c:pt>
                <c:pt idx="13">
                  <c:v>44530</c:v>
                </c:pt>
                <c:pt idx="14">
                  <c:v>44561</c:v>
                </c:pt>
                <c:pt idx="15">
                  <c:v>44592</c:v>
                </c:pt>
                <c:pt idx="16">
                  <c:v>44620</c:v>
                </c:pt>
                <c:pt idx="17">
                  <c:v>44651</c:v>
                </c:pt>
                <c:pt idx="18">
                  <c:v>44681</c:v>
                </c:pt>
                <c:pt idx="19">
                  <c:v>44712</c:v>
                </c:pt>
                <c:pt idx="20">
                  <c:v>44742</c:v>
                </c:pt>
                <c:pt idx="21">
                  <c:v>44773</c:v>
                </c:pt>
                <c:pt idx="22">
                  <c:v>44804</c:v>
                </c:pt>
                <c:pt idx="23">
                  <c:v>44834</c:v>
                </c:pt>
              </c:numCache>
            </c:numRef>
          </c:xVal>
          <c:yVal>
            <c:numRef>
              <c:f>Compare_Plots!$B$4:$B$27</c:f>
              <c:numCache>
                <c:formatCode>0.00</c:formatCode>
                <c:ptCount val="24"/>
                <c:pt idx="0">
                  <c:v>447.49999999999949</c:v>
                </c:pt>
                <c:pt idx="1">
                  <c:v>447.49999999999949</c:v>
                </c:pt>
                <c:pt idx="2">
                  <c:v>446.49999999999949</c:v>
                </c:pt>
                <c:pt idx="3">
                  <c:v>446.49999999999949</c:v>
                </c:pt>
                <c:pt idx="4">
                  <c:v>446.49999999999949</c:v>
                </c:pt>
                <c:pt idx="5">
                  <c:v>446.69999999999948</c:v>
                </c:pt>
                <c:pt idx="6">
                  <c:v>448.69999999999948</c:v>
                </c:pt>
                <c:pt idx="7">
                  <c:v>448.69999999999948</c:v>
                </c:pt>
                <c:pt idx="8">
                  <c:v>448.69999999999948</c:v>
                </c:pt>
                <c:pt idx="9">
                  <c:v>447.99999999999949</c:v>
                </c:pt>
                <c:pt idx="10">
                  <c:v>447.50000000328043</c:v>
                </c:pt>
                <c:pt idx="11">
                  <c:v>447.49999999999949</c:v>
                </c:pt>
                <c:pt idx="12">
                  <c:v>447.49999999999949</c:v>
                </c:pt>
                <c:pt idx="13">
                  <c:v>447.49999999999949</c:v>
                </c:pt>
                <c:pt idx="14">
                  <c:v>446.49999999999949</c:v>
                </c:pt>
                <c:pt idx="15">
                  <c:v>446.49999999999949</c:v>
                </c:pt>
                <c:pt idx="16">
                  <c:v>446.49999999999949</c:v>
                </c:pt>
                <c:pt idx="17">
                  <c:v>446.69999999999948</c:v>
                </c:pt>
                <c:pt idx="18">
                  <c:v>448.69999999999948</c:v>
                </c:pt>
                <c:pt idx="19">
                  <c:v>448.69999999999948</c:v>
                </c:pt>
                <c:pt idx="20">
                  <c:v>448.69999999999948</c:v>
                </c:pt>
                <c:pt idx="21">
                  <c:v>447.99999999999949</c:v>
                </c:pt>
                <c:pt idx="22">
                  <c:v>447.50000000328043</c:v>
                </c:pt>
                <c:pt idx="23">
                  <c:v>447.49999999999949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50-4062-B8F5-CF4921D1568F}"/>
            </c:ext>
          </c:extLst>
        </c:ser>
        <c:ser>
          <c:idx val="1"/>
          <c:order val="1"/>
          <c:tx>
            <c:strRef>
              <c:f>Compare_Plots!$C$3</c:f>
              <c:strCache>
                <c:ptCount val="1"/>
                <c:pt idx="0">
                  <c:v>MTOM</c:v>
                </c:pt>
              </c:strCache>
            </c:strRef>
          </c:tx>
          <c:xVal>
            <c:numRef>
              <c:f>Compare_Plots!$A$4:$A$27</c:f>
              <c:numCache>
                <c:formatCode>m/d/yyyy</c:formatCode>
                <c:ptCount val="24"/>
                <c:pt idx="0">
                  <c:v>44135</c:v>
                </c:pt>
                <c:pt idx="1">
                  <c:v>44165</c:v>
                </c:pt>
                <c:pt idx="2">
                  <c:v>44196</c:v>
                </c:pt>
                <c:pt idx="3">
                  <c:v>44227</c:v>
                </c:pt>
                <c:pt idx="4">
                  <c:v>44255</c:v>
                </c:pt>
                <c:pt idx="5">
                  <c:v>44286</c:v>
                </c:pt>
                <c:pt idx="6">
                  <c:v>44316</c:v>
                </c:pt>
                <c:pt idx="7">
                  <c:v>44347</c:v>
                </c:pt>
                <c:pt idx="8">
                  <c:v>44377</c:v>
                </c:pt>
                <c:pt idx="9">
                  <c:v>44408</c:v>
                </c:pt>
                <c:pt idx="10">
                  <c:v>44439</c:v>
                </c:pt>
                <c:pt idx="11">
                  <c:v>44469</c:v>
                </c:pt>
                <c:pt idx="12">
                  <c:v>44500</c:v>
                </c:pt>
                <c:pt idx="13">
                  <c:v>44530</c:v>
                </c:pt>
                <c:pt idx="14">
                  <c:v>44561</c:v>
                </c:pt>
                <c:pt idx="15">
                  <c:v>44592</c:v>
                </c:pt>
                <c:pt idx="16">
                  <c:v>44620</c:v>
                </c:pt>
                <c:pt idx="17">
                  <c:v>44651</c:v>
                </c:pt>
                <c:pt idx="18">
                  <c:v>44681</c:v>
                </c:pt>
                <c:pt idx="19">
                  <c:v>44712</c:v>
                </c:pt>
                <c:pt idx="20">
                  <c:v>44742</c:v>
                </c:pt>
                <c:pt idx="21">
                  <c:v>44773</c:v>
                </c:pt>
                <c:pt idx="22">
                  <c:v>44804</c:v>
                </c:pt>
                <c:pt idx="23">
                  <c:v>44834</c:v>
                </c:pt>
              </c:numCache>
            </c:numRef>
          </c:xVal>
          <c:yVal>
            <c:numRef>
              <c:f>Compare_Plots!$C$4:$C$27</c:f>
              <c:numCache>
                <c:formatCode>0.00</c:formatCode>
                <c:ptCount val="24"/>
                <c:pt idx="0">
                  <c:v>447.49999999907499</c:v>
                </c:pt>
                <c:pt idx="1">
                  <c:v>447.49999999999727</c:v>
                </c:pt>
                <c:pt idx="2">
                  <c:v>446.50000000010687</c:v>
                </c:pt>
                <c:pt idx="3">
                  <c:v>446.49999999999773</c:v>
                </c:pt>
                <c:pt idx="4">
                  <c:v>446.49999999999812</c:v>
                </c:pt>
                <c:pt idx="5">
                  <c:v>446.69999999993462</c:v>
                </c:pt>
                <c:pt idx="6">
                  <c:v>448.69999999886124</c:v>
                </c:pt>
                <c:pt idx="7">
                  <c:v>448.69999999999379</c:v>
                </c:pt>
                <c:pt idx="8">
                  <c:v>448.69999999998726</c:v>
                </c:pt>
                <c:pt idx="9">
                  <c:v>447.99999999995981</c:v>
                </c:pt>
                <c:pt idx="10">
                  <c:v>447.50000000179955</c:v>
                </c:pt>
                <c:pt idx="11">
                  <c:v>447.49999999998084</c:v>
                </c:pt>
                <c:pt idx="12">
                  <c:v>447.49999999999972</c:v>
                </c:pt>
                <c:pt idx="13">
                  <c:v>447.49999999999352</c:v>
                </c:pt>
                <c:pt idx="14">
                  <c:v>446.50000000010533</c:v>
                </c:pt>
                <c:pt idx="15">
                  <c:v>446.49999999999773</c:v>
                </c:pt>
                <c:pt idx="16">
                  <c:v>446.49999999999812</c:v>
                </c:pt>
                <c:pt idx="17">
                  <c:v>446.69999999993462</c:v>
                </c:pt>
                <c:pt idx="18">
                  <c:v>448.69999999886124</c:v>
                </c:pt>
                <c:pt idx="19">
                  <c:v>448.69999999999379</c:v>
                </c:pt>
                <c:pt idx="20">
                  <c:v>448.69999999998726</c:v>
                </c:pt>
                <c:pt idx="21">
                  <c:v>447.99999999995981</c:v>
                </c:pt>
                <c:pt idx="22">
                  <c:v>447.50000000179955</c:v>
                </c:pt>
                <c:pt idx="23">
                  <c:v>447.49999999998084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50-4062-B8F5-CF4921D15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413800"/>
        <c:axId val="183417720"/>
      </c:scatterChart>
      <c:scatterChart>
        <c:scatterStyle val="lineMarker"/>
        <c:varyColors val="0"/>
        <c:ser>
          <c:idx val="2"/>
          <c:order val="2"/>
          <c:tx>
            <c:strRef>
              <c:f>Compare_Plots!$D$3</c:f>
              <c:strCache>
                <c:ptCount val="1"/>
                <c:pt idx="0">
                  <c:v>Difference</c:v>
                </c:pt>
              </c:strCache>
            </c:strRef>
          </c:tx>
          <c:xVal>
            <c:numRef>
              <c:f>Compare_Plots!$A$4:$A$27</c:f>
              <c:numCache>
                <c:formatCode>m/d/yyyy</c:formatCode>
                <c:ptCount val="24"/>
                <c:pt idx="0">
                  <c:v>44135</c:v>
                </c:pt>
                <c:pt idx="1">
                  <c:v>44165</c:v>
                </c:pt>
                <c:pt idx="2">
                  <c:v>44196</c:v>
                </c:pt>
                <c:pt idx="3">
                  <c:v>44227</c:v>
                </c:pt>
                <c:pt idx="4">
                  <c:v>44255</c:v>
                </c:pt>
                <c:pt idx="5">
                  <c:v>44286</c:v>
                </c:pt>
                <c:pt idx="6">
                  <c:v>44316</c:v>
                </c:pt>
                <c:pt idx="7">
                  <c:v>44347</c:v>
                </c:pt>
                <c:pt idx="8">
                  <c:v>44377</c:v>
                </c:pt>
                <c:pt idx="9">
                  <c:v>44408</c:v>
                </c:pt>
                <c:pt idx="10">
                  <c:v>44439</c:v>
                </c:pt>
                <c:pt idx="11">
                  <c:v>44469</c:v>
                </c:pt>
                <c:pt idx="12">
                  <c:v>44500</c:v>
                </c:pt>
                <c:pt idx="13">
                  <c:v>44530</c:v>
                </c:pt>
                <c:pt idx="14">
                  <c:v>44561</c:v>
                </c:pt>
                <c:pt idx="15">
                  <c:v>44592</c:v>
                </c:pt>
                <c:pt idx="16">
                  <c:v>44620</c:v>
                </c:pt>
                <c:pt idx="17">
                  <c:v>44651</c:v>
                </c:pt>
                <c:pt idx="18">
                  <c:v>44681</c:v>
                </c:pt>
                <c:pt idx="19">
                  <c:v>44712</c:v>
                </c:pt>
                <c:pt idx="20">
                  <c:v>44742</c:v>
                </c:pt>
                <c:pt idx="21">
                  <c:v>44773</c:v>
                </c:pt>
                <c:pt idx="22">
                  <c:v>44804</c:v>
                </c:pt>
                <c:pt idx="23">
                  <c:v>44834</c:v>
                </c:pt>
              </c:numCache>
            </c:numRef>
          </c:xVal>
          <c:yVal>
            <c:numRef>
              <c:f>Compare_Plots!$D$4:$D$27</c:f>
              <c:numCache>
                <c:formatCode>0.00</c:formatCode>
                <c:ptCount val="24"/>
                <c:pt idx="0">
                  <c:v>9.2450136435218155E-10</c:v>
                </c:pt>
                <c:pt idx="1">
                  <c:v>2.2168933355715126E-12</c:v>
                </c:pt>
                <c:pt idx="2">
                  <c:v>-1.0737721822806634E-10</c:v>
                </c:pt>
                <c:pt idx="3">
                  <c:v>1.7621459846850485E-12</c:v>
                </c:pt>
                <c:pt idx="4">
                  <c:v>1.3642420526593924E-12</c:v>
                </c:pt>
                <c:pt idx="5">
                  <c:v>6.4858340920181945E-11</c:v>
                </c:pt>
                <c:pt idx="6">
                  <c:v>1.1382326192688197E-9</c:v>
                </c:pt>
                <c:pt idx="7">
                  <c:v>5.6843418860808015E-12</c:v>
                </c:pt>
                <c:pt idx="8">
                  <c:v>1.2221335055073723E-11</c:v>
                </c:pt>
                <c:pt idx="9">
                  <c:v>3.9676706364843994E-11</c:v>
                </c:pt>
                <c:pt idx="10">
                  <c:v>1.4808847481617704E-9</c:v>
                </c:pt>
                <c:pt idx="11">
                  <c:v>1.8644641386345029E-11</c:v>
                </c:pt>
                <c:pt idx="12">
                  <c:v>0</c:v>
                </c:pt>
                <c:pt idx="13">
                  <c:v>5.9685589803848416E-12</c:v>
                </c:pt>
                <c:pt idx="14">
                  <c:v>-1.0584244591882452E-10</c:v>
                </c:pt>
                <c:pt idx="15">
                  <c:v>1.7621459846850485E-12</c:v>
                </c:pt>
                <c:pt idx="16">
                  <c:v>1.3642420526593924E-12</c:v>
                </c:pt>
                <c:pt idx="17">
                  <c:v>6.4858340920181945E-11</c:v>
                </c:pt>
                <c:pt idx="18">
                  <c:v>1.1382326192688197E-9</c:v>
                </c:pt>
                <c:pt idx="19">
                  <c:v>5.6843418860808015E-12</c:v>
                </c:pt>
                <c:pt idx="20">
                  <c:v>1.2221335055073723E-11</c:v>
                </c:pt>
                <c:pt idx="21">
                  <c:v>3.9676706364843994E-11</c:v>
                </c:pt>
                <c:pt idx="22">
                  <c:v>1.4808847481617704E-9</c:v>
                </c:pt>
                <c:pt idx="23">
                  <c:v>1.8644641386345029E-11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50-4062-B8F5-CF4921D15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37160"/>
        <c:axId val="493341424"/>
      </c:scatterChart>
      <c:valAx>
        <c:axId val="1834138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3417720"/>
        <c:crosses val="autoZero"/>
        <c:crossBetween val="midCat"/>
      </c:valAx>
      <c:valAx>
        <c:axId val="183417720"/>
        <c:scaling>
          <c:orientation val="minMax"/>
          <c:min val="45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83413800"/>
        <c:crosses val="autoZero"/>
        <c:crossBetween val="midCat"/>
      </c:valAx>
      <c:valAx>
        <c:axId val="493341424"/>
        <c:scaling>
          <c:orientation val="minMax"/>
          <c:max val="1"/>
          <c:min val="-5"/>
        </c:scaling>
        <c:delete val="0"/>
        <c:axPos val="r"/>
        <c:numFmt formatCode="0.00" sourceLinked="1"/>
        <c:majorTickMark val="out"/>
        <c:minorTickMark val="none"/>
        <c:tickLblPos val="nextTo"/>
        <c:crossAx val="493337160"/>
        <c:crosses val="max"/>
        <c:crossBetween val="midCat"/>
      </c:valAx>
      <c:valAx>
        <c:axId val="493337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93341424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gradFill>
      <a:gsLst>
        <a:gs pos="0">
          <a:srgbClr val="FFEFD1"/>
        </a:gs>
        <a:gs pos="64999">
          <a:srgbClr val="F0EBD5"/>
        </a:gs>
        <a:gs pos="100000">
          <a:srgbClr val="D1C39F"/>
        </a:gs>
      </a:gsLst>
      <a:lin ang="5400000" scaled="0"/>
    </a:gradFill>
  </c:spPr>
  <c:printSettings>
    <c:headerFooter/>
    <c:pageMargins b="0.75000000000000677" l="0.70000000000000062" r="0.70000000000000062" t="0.75000000000000677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Link="$AD$4" fmlaRange="$AE$8:$AE$19" noThreeD="1" sel="10" val="4"/>
</file>

<file path=xl/ctrlProps/ctrlProp3.xml><?xml version="1.0" encoding="utf-8"?>
<formControlPr xmlns="http://schemas.microsoft.com/office/spreadsheetml/2009/9/main" objectType="Drop" dropLines="15" dropStyle="combo" dx="16" fmlaLink="$A$36" fmlaRange="RunInformation!$F$4:$F$91" noThreeD="1" sel="42" val="3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7</xdr:row>
          <xdr:rowOff>133350</xdr:rowOff>
        </xdr:from>
        <xdr:to>
          <xdr:col>2</xdr:col>
          <xdr:colOff>447675</xdr:colOff>
          <xdr:row>9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</xdr:row>
          <xdr:rowOff>9525</xdr:rowOff>
        </xdr:from>
        <xdr:to>
          <xdr:col>2</xdr:col>
          <xdr:colOff>1019175</xdr:colOff>
          <xdr:row>4</xdr:row>
          <xdr:rowOff>161925</xdr:rowOff>
        </xdr:to>
        <xdr:sp macro="" textlink="">
          <xdr:nvSpPr>
            <xdr:cNvPr id="5123" name="Drop Dow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38972</xdr:colOff>
      <xdr:row>4</xdr:row>
      <xdr:rowOff>190838</xdr:rowOff>
    </xdr:from>
    <xdr:to>
      <xdr:col>2</xdr:col>
      <xdr:colOff>1022608</xdr:colOff>
      <xdr:row>5</xdr:row>
      <xdr:rowOff>178896</xdr:rowOff>
    </xdr:to>
    <xdr:sp macro="" textlink="$AD$3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125285" y="1039385"/>
          <a:ext cx="983636" cy="1790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00BD6C4-0C05-4EC6-8A84-7BF5BBC5DE5E}" type="TxLink">
            <a:rPr lang="en-US" sz="1100"/>
            <a:pPr algn="ctr"/>
            <a:t>24</a:t>
          </a:fld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20</xdr:col>
      <xdr:colOff>9525</xdr:colOff>
      <xdr:row>30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</xdr:row>
          <xdr:rowOff>123825</xdr:rowOff>
        </xdr:from>
        <xdr:to>
          <xdr:col>8</xdr:col>
          <xdr:colOff>171450</xdr:colOff>
          <xdr:row>2</xdr:row>
          <xdr:rowOff>133350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352425</xdr:colOff>
          <xdr:row>2</xdr:row>
          <xdr:rowOff>19050</xdr:rowOff>
        </xdr:from>
        <xdr:to>
          <xdr:col>19</xdr:col>
          <xdr:colOff>342900</xdr:colOff>
          <xdr:row>4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Diff Trace to 2nd Y-Axis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2:AF91"/>
  <sheetViews>
    <sheetView showGridLines="0" zoomScaleNormal="100" workbookViewId="0">
      <selection activeCell="C5" sqref="C5"/>
    </sheetView>
  </sheetViews>
  <sheetFormatPr defaultColWidth="8.85546875" defaultRowHeight="15" x14ac:dyDescent="0.25"/>
  <cols>
    <col min="1" max="1" width="10" style="80" customWidth="1"/>
    <col min="2" max="2" width="21.28515625" style="80" customWidth="1"/>
    <col min="3" max="3" width="15.85546875" style="80" customWidth="1"/>
    <col min="4" max="4" width="10.5703125" style="80" customWidth="1"/>
    <col min="5" max="5" width="8.85546875" style="80"/>
    <col min="6" max="6" width="26.85546875" style="80" customWidth="1"/>
    <col min="7" max="7" width="14" style="80" customWidth="1"/>
    <col min="8" max="8" width="8.85546875" style="80"/>
    <col min="9" max="9" width="4.42578125" style="80" customWidth="1"/>
    <col min="10" max="10" width="12.85546875" style="80" customWidth="1"/>
    <col min="11" max="28" width="8.85546875" style="80"/>
    <col min="29" max="29" width="11.42578125" style="80" bestFit="1" customWidth="1"/>
    <col min="30" max="30" width="18.140625" style="80" bestFit="1" customWidth="1"/>
    <col min="31" max="31" width="10.85546875" style="80" bestFit="1" customWidth="1"/>
    <col min="32" max="32" width="8.7109375" style="80" bestFit="1" customWidth="1"/>
    <col min="33" max="16384" width="8.85546875" style="80"/>
  </cols>
  <sheetData>
    <row r="2" spans="1:32" ht="21.75" customHeight="1" x14ac:dyDescent="0.3">
      <c r="A2" s="112" t="s">
        <v>0</v>
      </c>
      <c r="B2" s="112"/>
      <c r="C2" s="112"/>
      <c r="D2" s="112"/>
      <c r="E2" s="111" t="s">
        <v>31</v>
      </c>
      <c r="F2" s="111"/>
      <c r="G2" s="111"/>
      <c r="I2" s="108" t="s">
        <v>104</v>
      </c>
      <c r="J2" s="108"/>
      <c r="AD2" s="81">
        <f ca="1">NOW()</f>
        <v>44180.537101967595</v>
      </c>
    </row>
    <row r="3" spans="1:32" x14ac:dyDescent="0.25">
      <c r="A3" s="82"/>
      <c r="B3" s="109" t="s">
        <v>101</v>
      </c>
      <c r="C3" s="110"/>
      <c r="D3" s="83"/>
      <c r="E3" s="84" t="s">
        <v>28</v>
      </c>
      <c r="F3" s="85" t="s">
        <v>29</v>
      </c>
      <c r="G3" s="86" t="s">
        <v>30</v>
      </c>
      <c r="I3" s="84" t="s">
        <v>28</v>
      </c>
      <c r="J3" s="86" t="s">
        <v>103</v>
      </c>
      <c r="AC3" s="87" t="s">
        <v>150</v>
      </c>
      <c r="AD3" s="88">
        <f>LOOKUP(AD4,$AC$8:$AC$19,$AF$8:$AF$19)</f>
        <v>24</v>
      </c>
      <c r="AE3" s="89"/>
      <c r="AF3" s="89"/>
    </row>
    <row r="4" spans="1:32" x14ac:dyDescent="0.25">
      <c r="A4" s="82"/>
      <c r="B4" s="90" t="s">
        <v>105</v>
      </c>
      <c r="C4" s="91">
        <v>44125</v>
      </c>
      <c r="D4" s="83"/>
      <c r="E4" s="92">
        <v>1</v>
      </c>
      <c r="F4" s="93" t="s">
        <v>47</v>
      </c>
      <c r="G4" s="94" t="s">
        <v>27</v>
      </c>
      <c r="I4" s="95">
        <v>1</v>
      </c>
      <c r="J4" s="93">
        <v>12</v>
      </c>
      <c r="AC4" s="87" t="s">
        <v>151</v>
      </c>
      <c r="AD4" s="88">
        <v>10</v>
      </c>
      <c r="AE4" s="89"/>
      <c r="AF4" s="89"/>
    </row>
    <row r="5" spans="1:32" x14ac:dyDescent="0.25">
      <c r="A5" s="82"/>
      <c r="B5" s="90" t="s">
        <v>106</v>
      </c>
      <c r="C5" s="96">
        <v>3</v>
      </c>
      <c r="D5" s="83"/>
      <c r="E5" s="97">
        <v>2</v>
      </c>
      <c r="F5" s="98" t="s">
        <v>108</v>
      </c>
      <c r="G5" s="94" t="s">
        <v>109</v>
      </c>
      <c r="I5" s="99">
        <v>2</v>
      </c>
      <c r="J5" s="98">
        <v>24</v>
      </c>
      <c r="AC5" s="87" t="s">
        <v>152</v>
      </c>
      <c r="AD5" s="100">
        <f>DATE(YEAR(C4),AD4,LOOKUP(AD4,AC8:AC19,AD8:AD19))</f>
        <v>44135</v>
      </c>
      <c r="AE5" s="89"/>
      <c r="AF5" s="89"/>
    </row>
    <row r="6" spans="1:32" ht="16.5" customHeight="1" x14ac:dyDescent="0.25">
      <c r="A6" s="82"/>
      <c r="B6" s="101" t="s">
        <v>107</v>
      </c>
      <c r="C6" s="102">
        <f>LOOKUP(AD3,J4:J13,I4:I13)</f>
        <v>2</v>
      </c>
      <c r="D6" s="103"/>
      <c r="E6" s="97">
        <v>3</v>
      </c>
      <c r="F6" s="98" t="s">
        <v>20</v>
      </c>
      <c r="G6" s="94" t="s">
        <v>26</v>
      </c>
      <c r="I6" s="99">
        <v>3</v>
      </c>
      <c r="J6" s="98">
        <v>25</v>
      </c>
      <c r="AC6" s="89"/>
      <c r="AD6" s="89" t="str">
        <f>IF(OR(MOD(YEAR(AD5),400)=0,AND(MOD(YEAR(AD5),4)=0,MOD(YEAR(AD5),100)&lt;&gt;0)),"Leap Year", "NOT a Leap Year")</f>
        <v>Leap Year</v>
      </c>
      <c r="AE6" s="89"/>
      <c r="AF6" s="89"/>
    </row>
    <row r="7" spans="1:32" x14ac:dyDescent="0.25">
      <c r="A7" s="82"/>
      <c r="B7" s="82"/>
      <c r="C7" s="82">
        <f>LOOKUP(C6,I4:J13)</f>
        <v>24</v>
      </c>
      <c r="D7" s="82"/>
      <c r="E7" s="97">
        <v>4</v>
      </c>
      <c r="F7" s="98" t="s">
        <v>21</v>
      </c>
      <c r="G7" s="94" t="s">
        <v>25</v>
      </c>
      <c r="I7" s="99">
        <v>4</v>
      </c>
      <c r="J7" s="98">
        <v>26</v>
      </c>
      <c r="AC7" s="87" t="s">
        <v>151</v>
      </c>
      <c r="AD7" s="87" t="s">
        <v>153</v>
      </c>
      <c r="AE7" s="87" t="s">
        <v>154</v>
      </c>
      <c r="AF7" s="87" t="s">
        <v>150</v>
      </c>
    </row>
    <row r="8" spans="1:32" x14ac:dyDescent="0.25">
      <c r="A8" s="82"/>
      <c r="B8" s="82"/>
      <c r="C8" s="82"/>
      <c r="D8" s="82"/>
      <c r="E8" s="97">
        <v>5</v>
      </c>
      <c r="F8" s="98" t="s">
        <v>46</v>
      </c>
      <c r="G8" s="94" t="s">
        <v>39</v>
      </c>
      <c r="I8" s="99">
        <v>5</v>
      </c>
      <c r="J8" s="98">
        <v>27</v>
      </c>
      <c r="AC8" s="88">
        <v>1</v>
      </c>
      <c r="AD8" s="88">
        <v>31</v>
      </c>
      <c r="AE8" s="88" t="s">
        <v>138</v>
      </c>
      <c r="AF8" s="88">
        <v>24</v>
      </c>
    </row>
    <row r="9" spans="1:32" x14ac:dyDescent="0.25">
      <c r="A9" s="82"/>
      <c r="B9" s="82"/>
      <c r="C9" s="82"/>
      <c r="D9" s="82"/>
      <c r="E9" s="97">
        <v>6</v>
      </c>
      <c r="F9" s="98" t="s">
        <v>110</v>
      </c>
      <c r="G9" s="94" t="s">
        <v>112</v>
      </c>
      <c r="I9" s="99">
        <v>6</v>
      </c>
      <c r="J9" s="98">
        <v>28</v>
      </c>
      <c r="AC9" s="88">
        <v>2</v>
      </c>
      <c r="AD9" s="88">
        <f ca="1">IF(OR(MOD(YEAR(AD2),400)=0,AND(MOD(YEAR(AD2),4)=0,MOD(YEAR(AD2),100)&lt;&gt;0)),29, 28)</f>
        <v>29</v>
      </c>
      <c r="AE9" s="88" t="s">
        <v>139</v>
      </c>
      <c r="AF9" s="88">
        <v>32</v>
      </c>
    </row>
    <row r="10" spans="1:32" x14ac:dyDescent="0.25">
      <c r="A10" s="82"/>
      <c r="B10" s="82"/>
      <c r="C10" s="82"/>
      <c r="D10" s="82"/>
      <c r="E10" s="97">
        <v>7</v>
      </c>
      <c r="F10" s="98" t="s">
        <v>111</v>
      </c>
      <c r="G10" s="94" t="s">
        <v>113</v>
      </c>
      <c r="I10" s="99">
        <v>7</v>
      </c>
      <c r="J10" s="98">
        <v>29</v>
      </c>
      <c r="AC10" s="88">
        <v>3</v>
      </c>
      <c r="AD10" s="88">
        <v>31</v>
      </c>
      <c r="AE10" s="88" t="s">
        <v>140</v>
      </c>
      <c r="AF10" s="88">
        <v>31</v>
      </c>
    </row>
    <row r="11" spans="1:32" x14ac:dyDescent="0.25">
      <c r="A11" s="80" t="s">
        <v>155</v>
      </c>
      <c r="E11" s="97">
        <v>8</v>
      </c>
      <c r="F11" s="98" t="s">
        <v>40</v>
      </c>
      <c r="G11" s="94" t="s">
        <v>41</v>
      </c>
      <c r="I11" s="99">
        <v>8</v>
      </c>
      <c r="J11" s="98">
        <v>30</v>
      </c>
      <c r="AC11" s="88">
        <v>4</v>
      </c>
      <c r="AD11" s="88">
        <v>30</v>
      </c>
      <c r="AE11" s="88" t="s">
        <v>141</v>
      </c>
      <c r="AF11" s="88">
        <v>30</v>
      </c>
    </row>
    <row r="12" spans="1:32" x14ac:dyDescent="0.25">
      <c r="A12" s="80" t="s">
        <v>102</v>
      </c>
      <c r="E12" s="97">
        <v>9</v>
      </c>
      <c r="F12" s="98" t="s">
        <v>42</v>
      </c>
      <c r="G12" s="94" t="s">
        <v>43</v>
      </c>
      <c r="I12" s="99">
        <v>9</v>
      </c>
      <c r="J12" s="98">
        <v>31</v>
      </c>
      <c r="AC12" s="88">
        <v>5</v>
      </c>
      <c r="AD12" s="88">
        <v>31</v>
      </c>
      <c r="AE12" s="88" t="s">
        <v>142</v>
      </c>
      <c r="AF12" s="88">
        <v>29</v>
      </c>
    </row>
    <row r="13" spans="1:32" x14ac:dyDescent="0.25">
      <c r="E13" s="97">
        <v>10</v>
      </c>
      <c r="F13" s="98" t="s">
        <v>45</v>
      </c>
      <c r="G13" s="94" t="s">
        <v>44</v>
      </c>
      <c r="I13" s="104">
        <v>10</v>
      </c>
      <c r="J13" s="105">
        <v>32</v>
      </c>
      <c r="AC13" s="88">
        <v>6</v>
      </c>
      <c r="AD13" s="88">
        <v>30</v>
      </c>
      <c r="AE13" s="88" t="s">
        <v>143</v>
      </c>
      <c r="AF13" s="88">
        <v>28</v>
      </c>
    </row>
    <row r="14" spans="1:32" x14ac:dyDescent="0.25">
      <c r="E14" s="97">
        <v>11</v>
      </c>
      <c r="F14" s="98" t="s">
        <v>114</v>
      </c>
      <c r="G14" s="94" t="s">
        <v>115</v>
      </c>
      <c r="AC14" s="88">
        <v>7</v>
      </c>
      <c r="AD14" s="88">
        <v>31</v>
      </c>
      <c r="AE14" s="88" t="s">
        <v>144</v>
      </c>
      <c r="AF14" s="88">
        <v>27</v>
      </c>
    </row>
    <row r="15" spans="1:32" x14ac:dyDescent="0.25">
      <c r="E15" s="97">
        <v>12</v>
      </c>
      <c r="F15" s="98" t="s">
        <v>48</v>
      </c>
      <c r="G15" s="94" t="s">
        <v>49</v>
      </c>
      <c r="AC15" s="88">
        <v>8</v>
      </c>
      <c r="AD15" s="88">
        <v>31</v>
      </c>
      <c r="AE15" s="88" t="s">
        <v>145</v>
      </c>
      <c r="AF15" s="88">
        <v>26</v>
      </c>
    </row>
    <row r="16" spans="1:32" x14ac:dyDescent="0.25">
      <c r="E16" s="97">
        <v>13</v>
      </c>
      <c r="F16" s="98" t="s">
        <v>50</v>
      </c>
      <c r="G16" s="94" t="s">
        <v>51</v>
      </c>
      <c r="AC16" s="88">
        <v>9</v>
      </c>
      <c r="AD16" s="88">
        <v>30</v>
      </c>
      <c r="AE16" s="88" t="s">
        <v>146</v>
      </c>
      <c r="AF16" s="88">
        <v>25</v>
      </c>
    </row>
    <row r="17" spans="5:32" x14ac:dyDescent="0.25">
      <c r="E17" s="97">
        <v>14</v>
      </c>
      <c r="F17" s="98" t="s">
        <v>116</v>
      </c>
      <c r="G17" s="94" t="s">
        <v>118</v>
      </c>
      <c r="AC17" s="88">
        <v>10</v>
      </c>
      <c r="AD17" s="88">
        <v>31</v>
      </c>
      <c r="AE17" s="88" t="s">
        <v>147</v>
      </c>
      <c r="AF17" s="88">
        <v>24</v>
      </c>
    </row>
    <row r="18" spans="5:32" x14ac:dyDescent="0.25">
      <c r="E18" s="97">
        <v>15</v>
      </c>
      <c r="F18" s="98" t="s">
        <v>117</v>
      </c>
      <c r="G18" s="94" t="s">
        <v>119</v>
      </c>
      <c r="AC18" s="88">
        <v>11</v>
      </c>
      <c r="AD18" s="88">
        <v>30</v>
      </c>
      <c r="AE18" s="88" t="s">
        <v>148</v>
      </c>
      <c r="AF18" s="88">
        <v>24</v>
      </c>
    </row>
    <row r="19" spans="5:32" x14ac:dyDescent="0.25">
      <c r="E19" s="97">
        <v>16</v>
      </c>
      <c r="F19" s="98" t="s">
        <v>52</v>
      </c>
      <c r="G19" s="94" t="s">
        <v>53</v>
      </c>
      <c r="AC19" s="88">
        <v>12</v>
      </c>
      <c r="AD19" s="88">
        <v>31</v>
      </c>
      <c r="AE19" s="88" t="s">
        <v>149</v>
      </c>
      <c r="AF19" s="88">
        <v>24</v>
      </c>
    </row>
    <row r="20" spans="5:32" x14ac:dyDescent="0.25">
      <c r="E20" s="97">
        <v>17</v>
      </c>
      <c r="F20" s="98" t="s">
        <v>54</v>
      </c>
      <c r="G20" s="94" t="s">
        <v>55</v>
      </c>
    </row>
    <row r="21" spans="5:32" x14ac:dyDescent="0.25">
      <c r="E21" s="97">
        <v>18</v>
      </c>
      <c r="F21" s="98" t="s">
        <v>64</v>
      </c>
      <c r="G21" s="94" t="s">
        <v>67</v>
      </c>
    </row>
    <row r="22" spans="5:32" x14ac:dyDescent="0.25">
      <c r="E22" s="97">
        <v>19</v>
      </c>
      <c r="F22" s="98" t="s">
        <v>65</v>
      </c>
      <c r="G22" s="94" t="s">
        <v>68</v>
      </c>
    </row>
    <row r="23" spans="5:32" x14ac:dyDescent="0.25">
      <c r="E23" s="97">
        <v>20</v>
      </c>
      <c r="F23" s="98" t="s">
        <v>66</v>
      </c>
      <c r="G23" s="94" t="s">
        <v>69</v>
      </c>
    </row>
    <row r="24" spans="5:32" x14ac:dyDescent="0.25">
      <c r="E24" s="97">
        <v>21</v>
      </c>
      <c r="F24" s="98" t="s">
        <v>71</v>
      </c>
      <c r="G24" s="94" t="s">
        <v>72</v>
      </c>
    </row>
    <row r="25" spans="5:32" x14ac:dyDescent="0.25">
      <c r="E25" s="97">
        <v>22</v>
      </c>
      <c r="F25" s="98" t="s">
        <v>120</v>
      </c>
      <c r="G25" s="94" t="s">
        <v>121</v>
      </c>
    </row>
    <row r="26" spans="5:32" x14ac:dyDescent="0.25">
      <c r="E26" s="97">
        <v>23</v>
      </c>
      <c r="F26" s="98" t="s">
        <v>70</v>
      </c>
      <c r="G26" s="94" t="s">
        <v>73</v>
      </c>
    </row>
    <row r="27" spans="5:32" x14ac:dyDescent="0.25">
      <c r="E27" s="97">
        <v>24</v>
      </c>
      <c r="F27" s="98" t="s">
        <v>86</v>
      </c>
      <c r="G27" s="94" t="s">
        <v>89</v>
      </c>
    </row>
    <row r="28" spans="5:32" x14ac:dyDescent="0.25">
      <c r="E28" s="97">
        <v>25</v>
      </c>
      <c r="F28" s="98" t="s">
        <v>122</v>
      </c>
      <c r="G28" s="94" t="s">
        <v>124</v>
      </c>
    </row>
    <row r="29" spans="5:32" x14ac:dyDescent="0.25">
      <c r="E29" s="97">
        <v>26</v>
      </c>
      <c r="F29" s="98" t="s">
        <v>123</v>
      </c>
      <c r="G29" s="94" t="s">
        <v>125</v>
      </c>
    </row>
    <row r="30" spans="5:32" x14ac:dyDescent="0.25">
      <c r="E30" s="97">
        <v>27</v>
      </c>
      <c r="F30" s="98" t="s">
        <v>87</v>
      </c>
      <c r="G30" s="94" t="s">
        <v>90</v>
      </c>
    </row>
    <row r="31" spans="5:32" x14ac:dyDescent="0.25">
      <c r="E31" s="97">
        <v>28</v>
      </c>
      <c r="F31" s="98" t="s">
        <v>88</v>
      </c>
      <c r="G31" s="94" t="s">
        <v>91</v>
      </c>
    </row>
    <row r="32" spans="5:32" x14ac:dyDescent="0.25">
      <c r="E32" s="97">
        <v>29</v>
      </c>
      <c r="F32" s="98" t="s">
        <v>74</v>
      </c>
      <c r="G32" s="94" t="s">
        <v>77</v>
      </c>
    </row>
    <row r="33" spans="5:7" x14ac:dyDescent="0.25">
      <c r="E33" s="97">
        <v>30</v>
      </c>
      <c r="F33" s="98" t="s">
        <v>128</v>
      </c>
      <c r="G33" s="94" t="s">
        <v>133</v>
      </c>
    </row>
    <row r="34" spans="5:7" x14ac:dyDescent="0.25">
      <c r="E34" s="97">
        <v>31</v>
      </c>
      <c r="F34" s="98" t="s">
        <v>126</v>
      </c>
      <c r="G34" s="94" t="s">
        <v>132</v>
      </c>
    </row>
    <row r="35" spans="5:7" x14ac:dyDescent="0.25">
      <c r="E35" s="97">
        <v>32</v>
      </c>
      <c r="F35" s="98" t="s">
        <v>127</v>
      </c>
      <c r="G35" s="94" t="s">
        <v>131</v>
      </c>
    </row>
    <row r="36" spans="5:7" x14ac:dyDescent="0.25">
      <c r="E36" s="97">
        <v>33</v>
      </c>
      <c r="F36" s="98" t="s">
        <v>129</v>
      </c>
      <c r="G36" s="94" t="s">
        <v>130</v>
      </c>
    </row>
    <row r="37" spans="5:7" x14ac:dyDescent="0.25">
      <c r="E37" s="97">
        <v>34</v>
      </c>
      <c r="F37" s="98" t="s">
        <v>75</v>
      </c>
      <c r="G37" s="94" t="s">
        <v>78</v>
      </c>
    </row>
    <row r="38" spans="5:7" x14ac:dyDescent="0.25">
      <c r="E38" s="97">
        <v>35</v>
      </c>
      <c r="F38" s="98" t="s">
        <v>76</v>
      </c>
      <c r="G38" s="94" t="s">
        <v>79</v>
      </c>
    </row>
    <row r="39" spans="5:7" x14ac:dyDescent="0.25">
      <c r="E39" s="97">
        <v>36</v>
      </c>
      <c r="F39" s="98" t="s">
        <v>80</v>
      </c>
      <c r="G39" s="94" t="s">
        <v>82</v>
      </c>
    </row>
    <row r="40" spans="5:7" x14ac:dyDescent="0.25">
      <c r="E40" s="97">
        <v>37</v>
      </c>
      <c r="F40" s="98" t="s">
        <v>81</v>
      </c>
      <c r="G40" s="94" t="s">
        <v>83</v>
      </c>
    </row>
    <row r="41" spans="5:7" x14ac:dyDescent="0.25">
      <c r="E41" s="97">
        <v>38</v>
      </c>
      <c r="F41" s="98" t="s">
        <v>84</v>
      </c>
      <c r="G41" s="94" t="s">
        <v>85</v>
      </c>
    </row>
    <row r="42" spans="5:7" x14ac:dyDescent="0.25">
      <c r="E42" s="97">
        <v>39</v>
      </c>
      <c r="F42" s="98" t="s">
        <v>92</v>
      </c>
      <c r="G42" s="94" t="s">
        <v>95</v>
      </c>
    </row>
    <row r="43" spans="5:7" x14ac:dyDescent="0.25">
      <c r="E43" s="97">
        <v>40</v>
      </c>
      <c r="F43" s="98" t="s">
        <v>93</v>
      </c>
      <c r="G43" s="94" t="s">
        <v>96</v>
      </c>
    </row>
    <row r="44" spans="5:7" x14ac:dyDescent="0.25">
      <c r="E44" s="97">
        <v>41</v>
      </c>
      <c r="F44" s="98" t="s">
        <v>94</v>
      </c>
      <c r="G44" s="94" t="s">
        <v>97</v>
      </c>
    </row>
    <row r="45" spans="5:7" x14ac:dyDescent="0.25">
      <c r="E45" s="97">
        <v>42</v>
      </c>
      <c r="F45" s="98" t="s">
        <v>24</v>
      </c>
      <c r="G45" s="94" t="s">
        <v>32</v>
      </c>
    </row>
    <row r="46" spans="5:7" x14ac:dyDescent="0.25">
      <c r="E46" s="97">
        <v>43</v>
      </c>
      <c r="F46" s="98" t="s">
        <v>23</v>
      </c>
      <c r="G46" s="94" t="s">
        <v>33</v>
      </c>
    </row>
    <row r="47" spans="5:7" x14ac:dyDescent="0.25">
      <c r="E47" s="97">
        <v>44</v>
      </c>
      <c r="F47" s="98" t="s">
        <v>22</v>
      </c>
      <c r="G47" s="94" t="s">
        <v>34</v>
      </c>
    </row>
    <row r="48" spans="5:7" x14ac:dyDescent="0.25">
      <c r="E48" s="97">
        <v>45</v>
      </c>
      <c r="F48" s="98" t="s">
        <v>16</v>
      </c>
      <c r="G48" s="94" t="s">
        <v>35</v>
      </c>
    </row>
    <row r="49" spans="5:7" x14ac:dyDescent="0.25">
      <c r="E49" s="97">
        <v>46</v>
      </c>
      <c r="F49" s="98" t="s">
        <v>17</v>
      </c>
      <c r="G49" s="94" t="s">
        <v>36</v>
      </c>
    </row>
    <row r="50" spans="5:7" x14ac:dyDescent="0.25">
      <c r="E50" s="97">
        <v>47</v>
      </c>
      <c r="F50" s="98" t="s">
        <v>18</v>
      </c>
      <c r="G50" s="94" t="s">
        <v>98</v>
      </c>
    </row>
    <row r="51" spans="5:7" x14ac:dyDescent="0.25">
      <c r="E51" s="97">
        <v>48</v>
      </c>
      <c r="F51" s="98"/>
      <c r="G51" s="94"/>
    </row>
    <row r="52" spans="5:7" x14ac:dyDescent="0.25">
      <c r="E52" s="97">
        <v>49</v>
      </c>
      <c r="F52" s="98"/>
      <c r="G52" s="94"/>
    </row>
    <row r="53" spans="5:7" x14ac:dyDescent="0.25">
      <c r="E53" s="97">
        <v>50</v>
      </c>
      <c r="F53" s="98"/>
      <c r="G53" s="94"/>
    </row>
    <row r="54" spans="5:7" x14ac:dyDescent="0.25">
      <c r="E54" s="97">
        <v>51</v>
      </c>
      <c r="F54" s="98"/>
      <c r="G54" s="94"/>
    </row>
    <row r="55" spans="5:7" x14ac:dyDescent="0.25">
      <c r="E55" s="97">
        <v>52</v>
      </c>
      <c r="F55" s="98"/>
      <c r="G55" s="94"/>
    </row>
    <row r="56" spans="5:7" x14ac:dyDescent="0.25">
      <c r="E56" s="97">
        <v>53</v>
      </c>
      <c r="F56" s="98"/>
      <c r="G56" s="94"/>
    </row>
    <row r="57" spans="5:7" x14ac:dyDescent="0.25">
      <c r="E57" s="97">
        <v>54</v>
      </c>
      <c r="F57" s="98"/>
      <c r="G57" s="94"/>
    </row>
    <row r="58" spans="5:7" x14ac:dyDescent="0.25">
      <c r="E58" s="97">
        <v>55</v>
      </c>
      <c r="F58" s="98"/>
      <c r="G58" s="94"/>
    </row>
    <row r="59" spans="5:7" x14ac:dyDescent="0.25">
      <c r="E59" s="97">
        <v>56</v>
      </c>
      <c r="F59" s="98"/>
      <c r="G59" s="94"/>
    </row>
    <row r="60" spans="5:7" x14ac:dyDescent="0.25">
      <c r="E60" s="97">
        <v>57</v>
      </c>
      <c r="F60" s="98"/>
      <c r="G60" s="94"/>
    </row>
    <row r="61" spans="5:7" x14ac:dyDescent="0.25">
      <c r="E61" s="97">
        <v>58</v>
      </c>
      <c r="F61" s="98"/>
      <c r="G61" s="94"/>
    </row>
    <row r="62" spans="5:7" x14ac:dyDescent="0.25">
      <c r="E62" s="97">
        <v>59</v>
      </c>
      <c r="F62" s="98"/>
      <c r="G62" s="94"/>
    </row>
    <row r="63" spans="5:7" x14ac:dyDescent="0.25">
      <c r="E63" s="97">
        <v>60</v>
      </c>
      <c r="F63" s="98"/>
      <c r="G63" s="94"/>
    </row>
    <row r="64" spans="5:7" x14ac:dyDescent="0.25">
      <c r="E64" s="97">
        <v>61</v>
      </c>
      <c r="F64" s="98"/>
      <c r="G64" s="94"/>
    </row>
    <row r="65" spans="5:7" x14ac:dyDescent="0.25">
      <c r="E65" s="97">
        <v>62</v>
      </c>
      <c r="F65" s="98"/>
      <c r="G65" s="94"/>
    </row>
    <row r="66" spans="5:7" x14ac:dyDescent="0.25">
      <c r="E66" s="97">
        <v>63</v>
      </c>
      <c r="F66" s="98"/>
      <c r="G66" s="94"/>
    </row>
    <row r="67" spans="5:7" x14ac:dyDescent="0.25">
      <c r="E67" s="97">
        <v>64</v>
      </c>
      <c r="F67" s="98"/>
      <c r="G67" s="94"/>
    </row>
    <row r="68" spans="5:7" x14ac:dyDescent="0.25">
      <c r="E68" s="97">
        <v>65</v>
      </c>
      <c r="F68" s="98"/>
      <c r="G68" s="94"/>
    </row>
    <row r="69" spans="5:7" x14ac:dyDescent="0.25">
      <c r="E69" s="97">
        <v>66</v>
      </c>
      <c r="F69" s="98"/>
      <c r="G69" s="94"/>
    </row>
    <row r="70" spans="5:7" x14ac:dyDescent="0.25">
      <c r="E70" s="97">
        <v>67</v>
      </c>
      <c r="F70" s="98"/>
      <c r="G70" s="94"/>
    </row>
    <row r="71" spans="5:7" x14ac:dyDescent="0.25">
      <c r="E71" s="97">
        <v>68</v>
      </c>
      <c r="F71" s="98"/>
      <c r="G71" s="94"/>
    </row>
    <row r="72" spans="5:7" x14ac:dyDescent="0.25">
      <c r="E72" s="97">
        <v>69</v>
      </c>
      <c r="F72" s="98"/>
      <c r="G72" s="94"/>
    </row>
    <row r="73" spans="5:7" x14ac:dyDescent="0.25">
      <c r="E73" s="97">
        <v>70</v>
      </c>
      <c r="F73" s="98"/>
      <c r="G73" s="94"/>
    </row>
    <row r="74" spans="5:7" x14ac:dyDescent="0.25">
      <c r="E74" s="97">
        <v>71</v>
      </c>
      <c r="F74" s="98"/>
      <c r="G74" s="94"/>
    </row>
    <row r="75" spans="5:7" x14ac:dyDescent="0.25">
      <c r="E75" s="97">
        <v>72</v>
      </c>
      <c r="F75" s="98"/>
      <c r="G75" s="94"/>
    </row>
    <row r="76" spans="5:7" x14ac:dyDescent="0.25">
      <c r="E76" s="97">
        <v>73</v>
      </c>
      <c r="F76" s="98"/>
      <c r="G76" s="94"/>
    </row>
    <row r="77" spans="5:7" x14ac:dyDescent="0.25">
      <c r="E77" s="97">
        <v>74</v>
      </c>
      <c r="F77" s="98"/>
      <c r="G77" s="94"/>
    </row>
    <row r="78" spans="5:7" x14ac:dyDescent="0.25">
      <c r="E78" s="106">
        <v>75</v>
      </c>
      <c r="F78" s="98"/>
      <c r="G78" s="94"/>
    </row>
    <row r="79" spans="5:7" x14ac:dyDescent="0.25">
      <c r="F79" s="98"/>
      <c r="G79" s="94"/>
    </row>
    <row r="80" spans="5:7" x14ac:dyDescent="0.25">
      <c r="F80" s="98"/>
      <c r="G80" s="94"/>
    </row>
    <row r="81" spans="6:7" x14ac:dyDescent="0.25">
      <c r="F81" s="98"/>
      <c r="G81" s="94"/>
    </row>
    <row r="82" spans="6:7" x14ac:dyDescent="0.25">
      <c r="F82" s="98"/>
      <c r="G82" s="94"/>
    </row>
    <row r="83" spans="6:7" x14ac:dyDescent="0.25">
      <c r="F83" s="98"/>
      <c r="G83" s="94"/>
    </row>
    <row r="84" spans="6:7" x14ac:dyDescent="0.25">
      <c r="F84" s="98"/>
      <c r="G84" s="94"/>
    </row>
    <row r="85" spans="6:7" x14ac:dyDescent="0.25">
      <c r="F85" s="98"/>
      <c r="G85" s="94"/>
    </row>
    <row r="86" spans="6:7" x14ac:dyDescent="0.25">
      <c r="F86" s="98"/>
      <c r="G86" s="94"/>
    </row>
    <row r="87" spans="6:7" x14ac:dyDescent="0.25">
      <c r="F87" s="98"/>
      <c r="G87" s="94"/>
    </row>
    <row r="88" spans="6:7" x14ac:dyDescent="0.25">
      <c r="F88" s="98"/>
      <c r="G88" s="94"/>
    </row>
    <row r="89" spans="6:7" x14ac:dyDescent="0.25">
      <c r="F89" s="98"/>
      <c r="G89" s="94"/>
    </row>
    <row r="90" spans="6:7" x14ac:dyDescent="0.25">
      <c r="F90" s="98"/>
      <c r="G90" s="94"/>
    </row>
    <row r="91" spans="6:7" x14ac:dyDescent="0.25">
      <c r="F91" s="105"/>
      <c r="G91" s="107"/>
    </row>
  </sheetData>
  <mergeCells count="4">
    <mergeCell ref="I2:J2"/>
    <mergeCell ref="B3:C3"/>
    <mergeCell ref="E2:G2"/>
    <mergeCell ref="A2:D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learSheet">
                <anchor moveWithCells="1" sizeWithCells="1">
                  <from>
                    <xdr:col>1</xdr:col>
                    <xdr:colOff>304800</xdr:colOff>
                    <xdr:row>7</xdr:row>
                    <xdr:rowOff>133350</xdr:rowOff>
                  </from>
                  <to>
                    <xdr:col>2</xdr:col>
                    <xdr:colOff>447675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Drop Down 3">
              <controlPr defaultSize="0" autoLine="0" autoPict="0" macro="[0]!NewNamedRanges">
                <anchor moveWithCells="1">
                  <from>
                    <xdr:col>2</xdr:col>
                    <xdr:colOff>38100</xdr:colOff>
                    <xdr:row>4</xdr:row>
                    <xdr:rowOff>9525</xdr:rowOff>
                  </from>
                  <to>
                    <xdr:col>2</xdr:col>
                    <xdr:colOff>1019175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/>
  </sheetPr>
  <dimension ref="A1:AW69"/>
  <sheetViews>
    <sheetView zoomScale="90" zoomScaleNormal="90" workbookViewId="0">
      <selection activeCell="B4" sqref="B4"/>
    </sheetView>
  </sheetViews>
  <sheetFormatPr defaultRowHeight="15" x14ac:dyDescent="0.25"/>
  <cols>
    <col min="1" max="1" width="16.5703125" customWidth="1"/>
    <col min="2" max="2" width="9.28515625" bestFit="1" customWidth="1"/>
    <col min="3" max="3" width="9.28515625" customWidth="1"/>
    <col min="4" max="5" width="9.28515625" bestFit="1" customWidth="1"/>
    <col min="6" max="8" width="9.85546875" customWidth="1"/>
    <col min="9" max="10" width="9.28515625" bestFit="1" customWidth="1"/>
    <col min="11" max="12" width="9.85546875" customWidth="1"/>
    <col min="13" max="13" width="9.28515625" bestFit="1" customWidth="1"/>
    <col min="14" max="16" width="9.7109375" customWidth="1"/>
    <col min="17" max="17" width="10.42578125" bestFit="1" customWidth="1"/>
    <col min="18" max="22" width="9.28515625" bestFit="1" customWidth="1"/>
    <col min="23" max="23" width="9.28515625" customWidth="1"/>
    <col min="24" max="25" width="9.28515625" bestFit="1" customWidth="1"/>
    <col min="26" max="27" width="9.28515625" customWidth="1"/>
    <col min="28" max="30" width="9.28515625" bestFit="1" customWidth="1"/>
    <col min="31" max="34" width="9.28515625" customWidth="1"/>
    <col min="35" max="37" width="9.28515625" bestFit="1" customWidth="1"/>
    <col min="38" max="38" width="10.5703125" bestFit="1" customWidth="1"/>
    <col min="39" max="40" width="9.28515625" bestFit="1" customWidth="1"/>
    <col min="41" max="41" width="10.5703125" bestFit="1" customWidth="1"/>
    <col min="42" max="42" width="9.28515625" bestFit="1" customWidth="1"/>
    <col min="43" max="43" width="10" customWidth="1"/>
    <col min="44" max="44" width="10.85546875" customWidth="1"/>
    <col min="45" max="45" width="9.28515625" bestFit="1" customWidth="1"/>
    <col min="46" max="46" width="28.28515625" customWidth="1"/>
    <col min="47" max="47" width="19.28515625" customWidth="1"/>
    <col min="48" max="48" width="18.85546875" customWidth="1"/>
  </cols>
  <sheetData>
    <row r="1" spans="1:49" ht="18.75" x14ac:dyDescent="0.3">
      <c r="A1" s="36"/>
      <c r="B1" s="113" t="s">
        <v>56</v>
      </c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60"/>
      <c r="AA1" s="60"/>
      <c r="AB1" s="114" t="s">
        <v>56</v>
      </c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5"/>
    </row>
    <row r="2" spans="1:49" x14ac:dyDescent="0.25">
      <c r="A2" s="4"/>
      <c r="B2" s="117" t="s">
        <v>7</v>
      </c>
      <c r="C2" s="117"/>
      <c r="D2" s="116"/>
      <c r="E2" s="118"/>
      <c r="F2" s="116" t="s">
        <v>6</v>
      </c>
      <c r="G2" s="116"/>
      <c r="H2" s="116"/>
      <c r="I2" s="116"/>
      <c r="J2" s="116"/>
      <c r="K2" s="117" t="s">
        <v>5</v>
      </c>
      <c r="L2" s="119"/>
      <c r="M2" s="118"/>
      <c r="N2" s="116" t="s">
        <v>4</v>
      </c>
      <c r="O2" s="116"/>
      <c r="P2" s="116"/>
      <c r="Q2" s="116"/>
      <c r="R2" s="116"/>
      <c r="S2" s="117" t="s">
        <v>8</v>
      </c>
      <c r="T2" s="116"/>
      <c r="U2" s="118"/>
      <c r="V2" s="116" t="s">
        <v>9</v>
      </c>
      <c r="W2" s="116"/>
      <c r="X2" s="116"/>
      <c r="Y2" s="117" t="s">
        <v>10</v>
      </c>
      <c r="Z2" s="117"/>
      <c r="AA2" s="117"/>
      <c r="AB2" s="116"/>
      <c r="AC2" s="118"/>
      <c r="AD2" s="116" t="s">
        <v>11</v>
      </c>
      <c r="AE2" s="116"/>
      <c r="AF2" s="116"/>
      <c r="AG2" s="116"/>
      <c r="AH2" s="116"/>
      <c r="AI2" s="116"/>
      <c r="AJ2" s="116"/>
      <c r="AK2" s="117" t="s">
        <v>12</v>
      </c>
      <c r="AL2" s="116"/>
      <c r="AM2" s="118"/>
      <c r="AN2" s="116" t="s">
        <v>14</v>
      </c>
      <c r="AO2" s="116"/>
      <c r="AP2" s="116"/>
      <c r="AQ2" s="117" t="s">
        <v>15</v>
      </c>
      <c r="AR2" s="116"/>
      <c r="AS2" s="118"/>
      <c r="AT2" s="18" t="s">
        <v>16</v>
      </c>
      <c r="AU2" s="2" t="s">
        <v>17</v>
      </c>
      <c r="AV2" s="18" t="s">
        <v>18</v>
      </c>
    </row>
    <row r="3" spans="1:49" x14ac:dyDescent="0.25">
      <c r="A3" s="5"/>
      <c r="B3" s="20" t="s">
        <v>1</v>
      </c>
      <c r="C3" s="20" t="s">
        <v>134</v>
      </c>
      <c r="D3" s="20" t="s">
        <v>2</v>
      </c>
      <c r="E3" s="20" t="s">
        <v>3</v>
      </c>
      <c r="F3" s="19" t="s">
        <v>1</v>
      </c>
      <c r="G3" s="20" t="s">
        <v>134</v>
      </c>
      <c r="H3" s="20" t="s">
        <v>135</v>
      </c>
      <c r="I3" s="20" t="s">
        <v>2</v>
      </c>
      <c r="J3" s="21" t="s">
        <v>3</v>
      </c>
      <c r="K3" s="20" t="s">
        <v>1</v>
      </c>
      <c r="L3" s="20" t="s">
        <v>134</v>
      </c>
      <c r="M3" s="20" t="s">
        <v>2</v>
      </c>
      <c r="N3" s="19" t="s">
        <v>1</v>
      </c>
      <c r="O3" s="20" t="s">
        <v>134</v>
      </c>
      <c r="P3" s="20" t="s">
        <v>135</v>
      </c>
      <c r="Q3" s="20" t="s">
        <v>2</v>
      </c>
      <c r="R3" s="21" t="s">
        <v>3</v>
      </c>
      <c r="S3" s="20" t="s">
        <v>1</v>
      </c>
      <c r="T3" s="20" t="s">
        <v>2</v>
      </c>
      <c r="U3" s="20" t="s">
        <v>3</v>
      </c>
      <c r="V3" s="19" t="s">
        <v>1</v>
      </c>
      <c r="W3" s="20" t="s">
        <v>134</v>
      </c>
      <c r="X3" s="21" t="s">
        <v>2</v>
      </c>
      <c r="Y3" s="20" t="s">
        <v>1</v>
      </c>
      <c r="Z3" s="20" t="s">
        <v>134</v>
      </c>
      <c r="AA3" s="20" t="s">
        <v>135</v>
      </c>
      <c r="AB3" s="20" t="s">
        <v>2</v>
      </c>
      <c r="AC3" s="20" t="s">
        <v>3</v>
      </c>
      <c r="AD3" s="19" t="s">
        <v>1</v>
      </c>
      <c r="AE3" s="20" t="s">
        <v>136</v>
      </c>
      <c r="AF3" s="20" t="s">
        <v>134</v>
      </c>
      <c r="AG3" s="20" t="s">
        <v>135</v>
      </c>
      <c r="AH3" s="20" t="s">
        <v>137</v>
      </c>
      <c r="AI3" s="20" t="s">
        <v>2</v>
      </c>
      <c r="AJ3" s="21" t="s">
        <v>3</v>
      </c>
      <c r="AK3" s="20" t="s">
        <v>1</v>
      </c>
      <c r="AL3" s="20" t="s">
        <v>2</v>
      </c>
      <c r="AM3" s="20" t="s">
        <v>13</v>
      </c>
      <c r="AN3" s="19" t="s">
        <v>1</v>
      </c>
      <c r="AO3" s="20" t="s">
        <v>2</v>
      </c>
      <c r="AP3" s="21" t="s">
        <v>13</v>
      </c>
      <c r="AQ3" s="20" t="s">
        <v>1</v>
      </c>
      <c r="AR3" s="20" t="s">
        <v>2</v>
      </c>
      <c r="AS3" s="20" t="s">
        <v>13</v>
      </c>
      <c r="AT3" s="22" t="s">
        <v>19</v>
      </c>
      <c r="AU3" s="20" t="s">
        <v>19</v>
      </c>
      <c r="AV3" s="22" t="s">
        <v>19</v>
      </c>
    </row>
    <row r="4" spans="1:49" ht="14.45" customHeight="1" x14ac:dyDescent="0.25">
      <c r="A4" s="23">
        <f>RunInformation!AD5</f>
        <v>44135</v>
      </c>
      <c r="B4" s="71">
        <v>6491.167062434376</v>
      </c>
      <c r="C4" s="71">
        <v>32.999999999999972</v>
      </c>
      <c r="D4" s="71">
        <v>55.34</v>
      </c>
      <c r="E4" s="71">
        <v>30.65330323318409</v>
      </c>
      <c r="F4" s="70">
        <v>6025.641379166661</v>
      </c>
      <c r="G4" s="71">
        <v>60.340000000062155</v>
      </c>
      <c r="H4" s="71">
        <v>38.000000000000021</v>
      </c>
      <c r="I4" s="71">
        <v>64.359999999999886</v>
      </c>
      <c r="J4" s="72">
        <v>0</v>
      </c>
      <c r="K4" s="71">
        <v>9307.7665765747934</v>
      </c>
      <c r="L4" s="71">
        <v>4.3999999999999995</v>
      </c>
      <c r="M4" s="71">
        <v>7.2900000000000071</v>
      </c>
      <c r="N4" s="70">
        <v>7463.7698140747952</v>
      </c>
      <c r="O4" s="71">
        <v>26.889999999947303</v>
      </c>
      <c r="P4" s="71">
        <v>24.000000000000014</v>
      </c>
      <c r="Q4" s="71">
        <v>70.209999999999994</v>
      </c>
      <c r="R4" s="72">
        <v>0</v>
      </c>
      <c r="S4" s="71">
        <v>6749.6333542978937</v>
      </c>
      <c r="T4" s="71">
        <v>1214.9461052213201</v>
      </c>
      <c r="U4" s="71">
        <v>0</v>
      </c>
      <c r="V4" s="70">
        <v>7614.9540335629836</v>
      </c>
      <c r="W4" s="71">
        <v>5.0000000000000027</v>
      </c>
      <c r="X4" s="72">
        <v>12.23999999999997</v>
      </c>
      <c r="Y4" s="71">
        <v>6041.3004577427755</v>
      </c>
      <c r="Z4" s="71">
        <v>19.232999999989872</v>
      </c>
      <c r="AA4" s="71">
        <v>12.000000000000009</v>
      </c>
      <c r="AB4" s="78">
        <v>30.820000000000032</v>
      </c>
      <c r="AC4" s="71">
        <v>0</v>
      </c>
      <c r="AD4" s="70">
        <v>3592.7923123031455</v>
      </c>
      <c r="AE4" s="71">
        <v>11075.188978267948</v>
      </c>
      <c r="AF4" s="71">
        <v>352.04312415681767</v>
      </c>
      <c r="AG4" s="71">
        <v>250.00000000000011</v>
      </c>
      <c r="AH4" s="71">
        <v>31.026065104769422</v>
      </c>
      <c r="AI4" s="71">
        <v>639.99999999999716</v>
      </c>
      <c r="AJ4" s="72">
        <v>0</v>
      </c>
      <c r="AK4" s="71">
        <v>1082.0102702657468</v>
      </c>
      <c r="AL4" s="71">
        <v>760363.80168788566</v>
      </c>
      <c r="AM4" s="71">
        <v>302.12239156600003</v>
      </c>
      <c r="AN4" s="70">
        <v>635.99722949146917</v>
      </c>
      <c r="AO4" s="71">
        <v>748440.4427249938</v>
      </c>
      <c r="AP4" s="72">
        <v>90.037658563400001</v>
      </c>
      <c r="AQ4" s="71">
        <v>447.49999999999949</v>
      </c>
      <c r="AR4" s="71">
        <v>463663.99999961333</v>
      </c>
      <c r="AS4" s="71">
        <v>30424.6054444</v>
      </c>
      <c r="AT4" s="73">
        <v>18806.710513334765</v>
      </c>
      <c r="AU4" s="71">
        <v>98995.999999910768</v>
      </c>
      <c r="AV4" s="73">
        <v>174999.99999992279</v>
      </c>
      <c r="AW4" s="40"/>
    </row>
    <row r="5" spans="1:49" ht="14.45" customHeight="1" x14ac:dyDescent="0.25">
      <c r="A5" s="23">
        <f>EOMONTH(A4,1)</f>
        <v>44165</v>
      </c>
      <c r="B5" s="75">
        <v>6487.757273097106</v>
      </c>
      <c r="C5" s="75">
        <v>35</v>
      </c>
      <c r="D5" s="75">
        <v>56.530000000000022</v>
      </c>
      <c r="E5" s="75">
        <v>0</v>
      </c>
      <c r="F5" s="74">
        <v>6025.8119554133791</v>
      </c>
      <c r="G5" s="75">
        <v>63.529999999964645</v>
      </c>
      <c r="H5" s="75">
        <v>41.999999999999993</v>
      </c>
      <c r="I5" s="75">
        <v>53.55</v>
      </c>
      <c r="J5" s="76">
        <v>0</v>
      </c>
      <c r="K5" s="75">
        <v>9306.9491336285992</v>
      </c>
      <c r="L5" s="75">
        <v>3.8000000000000007</v>
      </c>
      <c r="M5" s="75">
        <v>5.0499999999999972</v>
      </c>
      <c r="N5" s="74">
        <v>7465.0298373359501</v>
      </c>
      <c r="O5" s="75">
        <v>23.249999999957957</v>
      </c>
      <c r="P5" s="75">
        <v>22.000000000000021</v>
      </c>
      <c r="Q5" s="75">
        <v>14.970000000000006</v>
      </c>
      <c r="R5" s="76">
        <v>0</v>
      </c>
      <c r="S5" s="75">
        <v>6749.6333542978937</v>
      </c>
      <c r="T5" s="75">
        <v>335.07490840807822</v>
      </c>
      <c r="U5" s="75">
        <v>0</v>
      </c>
      <c r="V5" s="74">
        <v>7616.1875382873932</v>
      </c>
      <c r="W5" s="75">
        <v>4.0000000000000009</v>
      </c>
      <c r="X5" s="76">
        <v>2.4799999999999986</v>
      </c>
      <c r="Y5" s="75">
        <v>6040.8254463910698</v>
      </c>
      <c r="Z5" s="75">
        <v>16.480000000002505</v>
      </c>
      <c r="AA5" s="75">
        <v>17.999999999999982</v>
      </c>
      <c r="AB5" s="79">
        <v>20.830000000000027</v>
      </c>
      <c r="AC5" s="75">
        <v>0</v>
      </c>
      <c r="AD5" s="74">
        <v>3589.2107749343791</v>
      </c>
      <c r="AE5" s="75">
        <v>10749.21989103807</v>
      </c>
      <c r="AF5" s="75">
        <v>317.36934165637462</v>
      </c>
      <c r="AG5" s="75">
        <v>310.00000000000011</v>
      </c>
      <c r="AH5" s="75">
        <v>29.415947814555579</v>
      </c>
      <c r="AI5" s="75">
        <v>640.00000000000193</v>
      </c>
      <c r="AJ5" s="76">
        <v>0</v>
      </c>
      <c r="AK5" s="75">
        <v>1081.4773548031485</v>
      </c>
      <c r="AL5" s="75">
        <v>702215.73958737275</v>
      </c>
      <c r="AM5" s="75">
        <v>274.31713602999997</v>
      </c>
      <c r="AN5" s="74">
        <v>638.00068114829332</v>
      </c>
      <c r="AO5" s="75">
        <v>620644.79106392222</v>
      </c>
      <c r="AP5" s="76">
        <v>75.467647477699998</v>
      </c>
      <c r="AQ5" s="75">
        <v>447.49999999999949</v>
      </c>
      <c r="AR5" s="75">
        <v>368806.99999937363</v>
      </c>
      <c r="AS5" s="75">
        <v>24021.817838700001</v>
      </c>
      <c r="AT5" s="77">
        <v>10846.710513338834</v>
      </c>
      <c r="AU5" s="75">
        <v>94839.732375094914</v>
      </c>
      <c r="AV5" s="77">
        <v>159308.32139126386</v>
      </c>
      <c r="AW5" s="78"/>
    </row>
    <row r="6" spans="1:49" ht="14.45" customHeight="1" x14ac:dyDescent="0.25">
      <c r="A6" s="23">
        <f t="shared" ref="A6:A35" si="0">EOMONTH(A5,1)</f>
        <v>44196</v>
      </c>
      <c r="B6" s="75">
        <v>6483.1154973753219</v>
      </c>
      <c r="C6" s="75">
        <v>29.999999999999996</v>
      </c>
      <c r="D6" s="75">
        <v>58.409999999999975</v>
      </c>
      <c r="E6" s="75">
        <v>0</v>
      </c>
      <c r="F6" s="74">
        <v>6025.8033855971062</v>
      </c>
      <c r="G6" s="75">
        <v>60.410000000077837</v>
      </c>
      <c r="H6" s="75">
        <v>31.999999999999986</v>
      </c>
      <c r="I6" s="75">
        <v>59.030000000000022</v>
      </c>
      <c r="J6" s="76">
        <v>0</v>
      </c>
      <c r="K6" s="75">
        <v>9305.8201716207259</v>
      </c>
      <c r="L6" s="75">
        <v>3.5000000000000027</v>
      </c>
      <c r="M6" s="75">
        <v>5.200000000000002</v>
      </c>
      <c r="N6" s="74">
        <v>7465.9906731627216</v>
      </c>
      <c r="O6" s="75">
        <v>21.699999999999982</v>
      </c>
      <c r="P6" s="75">
        <v>19.999999999999975</v>
      </c>
      <c r="Q6" s="75">
        <v>15.320000000000006</v>
      </c>
      <c r="R6" s="76">
        <v>0</v>
      </c>
      <c r="S6" s="75">
        <v>6749.6333542978937</v>
      </c>
      <c r="T6" s="75">
        <v>330.07838186546627</v>
      </c>
      <c r="U6" s="75">
        <v>0</v>
      </c>
      <c r="V6" s="74">
        <v>7617.9047539370004</v>
      </c>
      <c r="W6" s="75">
        <v>4.0000000000000018</v>
      </c>
      <c r="X6" s="76">
        <v>1.8399999999999976</v>
      </c>
      <c r="Y6" s="75">
        <v>6040.1592061023557</v>
      </c>
      <c r="Z6" s="75">
        <v>14.840000000004052</v>
      </c>
      <c r="AA6" s="75">
        <v>16.999999999999989</v>
      </c>
      <c r="AB6" s="79">
        <v>21.519999999999982</v>
      </c>
      <c r="AC6" s="75">
        <v>0</v>
      </c>
      <c r="AD6" s="74">
        <v>3584.5707491797862</v>
      </c>
      <c r="AE6" s="75">
        <v>10336.176230165867</v>
      </c>
      <c r="AF6" s="75">
        <v>296.84572860380069</v>
      </c>
      <c r="AG6" s="75">
        <v>270.00000000000006</v>
      </c>
      <c r="AH6" s="75">
        <v>22.932883235834602</v>
      </c>
      <c r="AI6" s="75">
        <v>720.00000000000307</v>
      </c>
      <c r="AJ6" s="76">
        <v>0</v>
      </c>
      <c r="AK6" s="75">
        <v>1084.9885349573478</v>
      </c>
      <c r="AL6" s="75">
        <v>427483.25249475334</v>
      </c>
      <c r="AM6" s="75">
        <v>164.80189269600001</v>
      </c>
      <c r="AN6" s="74">
        <v>639.50562092519613</v>
      </c>
      <c r="AO6" s="75">
        <v>366177.01681125996</v>
      </c>
      <c r="AP6" s="76">
        <v>45.755580145000003</v>
      </c>
      <c r="AQ6" s="75">
        <v>446.49999999999949</v>
      </c>
      <c r="AR6" s="75">
        <v>234745.99999928725</v>
      </c>
      <c r="AS6" s="75">
        <v>14539.077753199999</v>
      </c>
      <c r="AT6" s="77">
        <v>5428.7105133327022</v>
      </c>
      <c r="AU6" s="75">
        <v>97557.732374914034</v>
      </c>
      <c r="AV6" s="77">
        <v>63933.321391277954</v>
      </c>
      <c r="AW6" s="78"/>
    </row>
    <row r="7" spans="1:49" ht="14.45" customHeight="1" x14ac:dyDescent="0.25">
      <c r="A7" s="23">
        <f t="shared" si="0"/>
        <v>44227</v>
      </c>
      <c r="B7" s="75">
        <v>6477.4479019028795</v>
      </c>
      <c r="C7" s="75">
        <v>28.000000000000004</v>
      </c>
      <c r="D7" s="75">
        <v>58.409999999999975</v>
      </c>
      <c r="E7" s="75">
        <v>0</v>
      </c>
      <c r="F7" s="74">
        <v>6025.8982290682352</v>
      </c>
      <c r="G7" s="75">
        <v>64.410000000105853</v>
      </c>
      <c r="H7" s="75">
        <v>33.999999999999972</v>
      </c>
      <c r="I7" s="75">
        <v>59.030000000000022</v>
      </c>
      <c r="J7" s="76">
        <v>0</v>
      </c>
      <c r="K7" s="75">
        <v>9304.3296444553707</v>
      </c>
      <c r="L7" s="75">
        <v>2.9999999999999991</v>
      </c>
      <c r="M7" s="75">
        <v>5.200000000000002</v>
      </c>
      <c r="N7" s="74">
        <v>7466.5617247047157</v>
      </c>
      <c r="O7" s="75">
        <v>20.199999999989476</v>
      </c>
      <c r="P7" s="75">
        <v>17.999999999999982</v>
      </c>
      <c r="Q7" s="75">
        <v>16.320000000000004</v>
      </c>
      <c r="R7" s="76">
        <v>0</v>
      </c>
      <c r="S7" s="75">
        <v>6749.6333542978937</v>
      </c>
      <c r="T7" s="75">
        <v>330.07838186546627</v>
      </c>
      <c r="U7" s="75">
        <v>0</v>
      </c>
      <c r="V7" s="74">
        <v>7619.543230347761</v>
      </c>
      <c r="W7" s="75">
        <v>4.0000000000000018</v>
      </c>
      <c r="X7" s="76">
        <v>1.8399999999999976</v>
      </c>
      <c r="Y7" s="75">
        <v>6039.3969098753214</v>
      </c>
      <c r="Z7" s="75">
        <v>13.839999999997048</v>
      </c>
      <c r="AA7" s="75">
        <v>15.999999999999993</v>
      </c>
      <c r="AB7" s="79">
        <v>21.519999999999982</v>
      </c>
      <c r="AC7" s="75">
        <v>0</v>
      </c>
      <c r="AD7" s="74">
        <v>3578.594125984248</v>
      </c>
      <c r="AE7" s="75">
        <v>9819.5805439521628</v>
      </c>
      <c r="AF7" s="75">
        <v>308.84572860431899</v>
      </c>
      <c r="AG7" s="75">
        <v>280</v>
      </c>
      <c r="AH7" s="75">
        <v>6.7690706664728886</v>
      </c>
      <c r="AI7" s="75">
        <v>860.0000000000025</v>
      </c>
      <c r="AJ7" s="76">
        <v>0</v>
      </c>
      <c r="AK7" s="75">
        <v>1089.3472114763767</v>
      </c>
      <c r="AL7" s="75">
        <v>517309.71149244317</v>
      </c>
      <c r="AM7" s="75">
        <v>205.13515830899999</v>
      </c>
      <c r="AN7" s="74">
        <v>641.79754691929065</v>
      </c>
      <c r="AO7" s="75">
        <v>424752.82883125037</v>
      </c>
      <c r="AP7" s="76">
        <v>53.630592085499998</v>
      </c>
      <c r="AQ7" s="75">
        <v>446.49999999999949</v>
      </c>
      <c r="AR7" s="75">
        <v>255294.56996694606</v>
      </c>
      <c r="AS7" s="75">
        <v>15983.991325999999</v>
      </c>
      <c r="AT7" s="77">
        <v>10570.22310564763</v>
      </c>
      <c r="AU7" s="75">
        <v>93847.666666653924</v>
      </c>
      <c r="AV7" s="77">
        <v>84768.89965354283</v>
      </c>
      <c r="AW7" s="78"/>
    </row>
    <row r="8" spans="1:49" ht="14.45" customHeight="1" x14ac:dyDescent="0.25">
      <c r="A8" s="23">
        <f t="shared" si="0"/>
        <v>44255</v>
      </c>
      <c r="B8" s="75">
        <v>6471.6675612860818</v>
      </c>
      <c r="C8" s="75">
        <v>25.999999999999982</v>
      </c>
      <c r="D8" s="75">
        <v>52.760000000000019</v>
      </c>
      <c r="E8" s="75">
        <v>0</v>
      </c>
      <c r="F8" s="74">
        <v>6026.0870155183666</v>
      </c>
      <c r="G8" s="75">
        <v>62.760000000030203</v>
      </c>
      <c r="H8" s="75">
        <v>35.999999999999979</v>
      </c>
      <c r="I8" s="75">
        <v>53.32</v>
      </c>
      <c r="J8" s="76">
        <v>0</v>
      </c>
      <c r="K8" s="75">
        <v>9302.6625084645566</v>
      </c>
      <c r="L8" s="75">
        <v>2.299999999999998</v>
      </c>
      <c r="M8" s="75">
        <v>4.7</v>
      </c>
      <c r="N8" s="74">
        <v>7467.1490461286003</v>
      </c>
      <c r="O8" s="75">
        <v>18.399999999994382</v>
      </c>
      <c r="P8" s="75">
        <v>15.999999999999977</v>
      </c>
      <c r="Q8" s="75">
        <v>14.359999999999975</v>
      </c>
      <c r="R8" s="76">
        <v>0</v>
      </c>
      <c r="S8" s="75">
        <v>6749.6333542978937</v>
      </c>
      <c r="T8" s="75">
        <v>330.05724967802246</v>
      </c>
      <c r="U8" s="75">
        <v>0</v>
      </c>
      <c r="V8" s="74">
        <v>7620.4925669291251</v>
      </c>
      <c r="W8" s="75">
        <v>3</v>
      </c>
      <c r="X8" s="76">
        <v>1.6699999999999993</v>
      </c>
      <c r="Y8" s="75">
        <v>6039.2489052821456</v>
      </c>
      <c r="Z8" s="75">
        <v>18.670000000004467</v>
      </c>
      <c r="AA8" s="75">
        <v>20</v>
      </c>
      <c r="AB8" s="79">
        <v>19.440000000000019</v>
      </c>
      <c r="AC8" s="75">
        <v>0</v>
      </c>
      <c r="AD8" s="74">
        <v>3573.6013190288677</v>
      </c>
      <c r="AE8" s="75">
        <v>9401.2980049681864</v>
      </c>
      <c r="AF8" s="75">
        <v>305.23445221363318</v>
      </c>
      <c r="AG8" s="75">
        <v>290.00000000000017</v>
      </c>
      <c r="AH8" s="75">
        <v>6.9795950311496373</v>
      </c>
      <c r="AI8" s="75">
        <v>750</v>
      </c>
      <c r="AJ8" s="76">
        <v>0</v>
      </c>
      <c r="AK8" s="75">
        <v>1092.5343337335946</v>
      </c>
      <c r="AL8" s="75">
        <v>518043.56768814864</v>
      </c>
      <c r="AM8" s="75">
        <v>204.69133288500001</v>
      </c>
      <c r="AN8" s="74">
        <v>641.79754691929065</v>
      </c>
      <c r="AO8" s="75">
        <v>497977.65364213398</v>
      </c>
      <c r="AP8" s="76">
        <v>62.980855127000005</v>
      </c>
      <c r="AQ8" s="75">
        <v>446.49999999999949</v>
      </c>
      <c r="AR8" s="75">
        <v>393137.47991883382</v>
      </c>
      <c r="AS8" s="75">
        <v>25528.2744475</v>
      </c>
      <c r="AT8" s="77">
        <v>10650.47975486587</v>
      </c>
      <c r="AU8" s="75">
        <v>20736.666666626301</v>
      </c>
      <c r="AV8" s="77">
        <v>79600.171925735689</v>
      </c>
      <c r="AW8" s="78"/>
    </row>
    <row r="9" spans="1:49" ht="14.45" customHeight="1" x14ac:dyDescent="0.25">
      <c r="A9" s="23">
        <f t="shared" si="0"/>
        <v>44286</v>
      </c>
      <c r="B9" s="75">
        <v>6467.6495898293888</v>
      </c>
      <c r="C9" s="75">
        <v>43</v>
      </c>
      <c r="D9" s="75">
        <v>59.500000000000014</v>
      </c>
      <c r="E9" s="75">
        <v>0</v>
      </c>
      <c r="F9" s="74">
        <v>6026.508750787395</v>
      </c>
      <c r="G9" s="75">
        <v>101.49999999995089</v>
      </c>
      <c r="H9" s="75">
        <v>84.999999999999943</v>
      </c>
      <c r="I9" s="75">
        <v>82.090000000000302</v>
      </c>
      <c r="J9" s="76">
        <v>0</v>
      </c>
      <c r="K9" s="75">
        <v>9301.0937806758429</v>
      </c>
      <c r="L9" s="75">
        <v>2.9999999999999991</v>
      </c>
      <c r="M9" s="75">
        <v>5.200000000000002</v>
      </c>
      <c r="N9" s="74">
        <v>7468.7658304461866</v>
      </c>
      <c r="O9" s="75">
        <v>29.200000000030798</v>
      </c>
      <c r="P9" s="75">
        <v>27.000000000000004</v>
      </c>
      <c r="Q9" s="75">
        <v>18.110000000000003</v>
      </c>
      <c r="R9" s="76">
        <v>18.109999999998724</v>
      </c>
      <c r="S9" s="75">
        <v>6749.6333542978937</v>
      </c>
      <c r="T9" s="75">
        <v>407.41390264335837</v>
      </c>
      <c r="U9" s="75">
        <v>0</v>
      </c>
      <c r="V9" s="74">
        <v>7622.6391140419873</v>
      </c>
      <c r="W9" s="75">
        <v>5.0000000000000027</v>
      </c>
      <c r="X9" s="76">
        <v>1.8399999999999976</v>
      </c>
      <c r="Y9" s="75">
        <v>6040.889344258524</v>
      </c>
      <c r="Z9" s="75">
        <v>46.262999999990271</v>
      </c>
      <c r="AA9" s="75">
        <v>52.000000000000021</v>
      </c>
      <c r="AB9" s="79">
        <v>21.519999999999982</v>
      </c>
      <c r="AC9" s="75">
        <v>0</v>
      </c>
      <c r="AD9" s="74">
        <v>3569.5654099409408</v>
      </c>
      <c r="AE9" s="75">
        <v>9072.0027122968404</v>
      </c>
      <c r="AF9" s="75">
        <v>455.87790442732728</v>
      </c>
      <c r="AG9" s="75">
        <v>490.00000000000034</v>
      </c>
      <c r="AH9" s="75">
        <v>11.516821214769376</v>
      </c>
      <c r="AI9" s="75">
        <v>800.00000000000273</v>
      </c>
      <c r="AJ9" s="76">
        <v>0</v>
      </c>
      <c r="AK9" s="75">
        <v>1091.2103078969803</v>
      </c>
      <c r="AL9" s="75">
        <v>966715.08271652774</v>
      </c>
      <c r="AM9" s="75">
        <v>394.05139463500001</v>
      </c>
      <c r="AN9" s="74">
        <v>643.05459791010435</v>
      </c>
      <c r="AO9" s="75">
        <v>907792.5084921997</v>
      </c>
      <c r="AP9" s="76">
        <v>113.48623411400001</v>
      </c>
      <c r="AQ9" s="75">
        <v>446.69999999999948</v>
      </c>
      <c r="AR9" s="75">
        <v>638373.26349376806</v>
      </c>
      <c r="AS9" s="75">
        <v>41335.469140499998</v>
      </c>
      <c r="AT9" s="77">
        <v>14856.772980822756</v>
      </c>
      <c r="AU9" s="75">
        <v>89676.666666717865</v>
      </c>
      <c r="AV9" s="77">
        <v>163330.7605865995</v>
      </c>
      <c r="AW9" s="78"/>
    </row>
    <row r="10" spans="1:49" ht="14.45" customHeight="1" x14ac:dyDescent="0.25">
      <c r="A10" s="23">
        <f t="shared" si="0"/>
        <v>44316</v>
      </c>
      <c r="B10" s="75">
        <v>6470.0491333989439</v>
      </c>
      <c r="C10" s="75">
        <v>70</v>
      </c>
      <c r="D10" s="75">
        <v>59.500000000000021</v>
      </c>
      <c r="E10" s="75">
        <v>0</v>
      </c>
      <c r="F10" s="74">
        <v>6026.8989293963195</v>
      </c>
      <c r="G10" s="75">
        <v>99.499999999957893</v>
      </c>
      <c r="H10" s="75">
        <v>109.99999999999982</v>
      </c>
      <c r="I10" s="75">
        <v>79.439999999999728</v>
      </c>
      <c r="J10" s="76">
        <v>0</v>
      </c>
      <c r="K10" s="75">
        <v>9297.3612604002537</v>
      </c>
      <c r="L10" s="75">
        <v>5.0000000000000018</v>
      </c>
      <c r="M10" s="75">
        <v>10.000000000000014</v>
      </c>
      <c r="N10" s="74">
        <v>7471.8337928149531</v>
      </c>
      <c r="O10" s="75">
        <v>59.999999999999957</v>
      </c>
      <c r="P10" s="75">
        <v>55.000000000000028</v>
      </c>
      <c r="Q10" s="75">
        <v>38.610000000000021</v>
      </c>
      <c r="R10" s="76">
        <v>38.60999999999661</v>
      </c>
      <c r="S10" s="75">
        <v>6749.6333542978937</v>
      </c>
      <c r="T10" s="75">
        <v>983.3065648653992</v>
      </c>
      <c r="U10" s="75">
        <v>0</v>
      </c>
      <c r="V10" s="74">
        <v>7628.8948323490731</v>
      </c>
      <c r="W10" s="75">
        <v>12.000000000000007</v>
      </c>
      <c r="X10" s="76">
        <v>1.7900000000000014</v>
      </c>
      <c r="Y10" s="75">
        <v>6044.4499453412009</v>
      </c>
      <c r="Z10" s="75">
        <v>84.004000000012041</v>
      </c>
      <c r="AA10" s="75">
        <v>105.00000000000027</v>
      </c>
      <c r="AB10" s="79">
        <v>20.830000000000027</v>
      </c>
      <c r="AC10" s="75">
        <v>0</v>
      </c>
      <c r="AD10" s="74">
        <v>3567.9873805446155</v>
      </c>
      <c r="AE10" s="75">
        <v>8945.3897739900112</v>
      </c>
      <c r="AF10" s="75">
        <v>581.22880386058648</v>
      </c>
      <c r="AG10" s="75">
        <v>680.00000000000068</v>
      </c>
      <c r="AH10" s="75">
        <v>17.970774107199624</v>
      </c>
      <c r="AI10" s="75">
        <v>700</v>
      </c>
      <c r="AJ10" s="76">
        <v>0</v>
      </c>
      <c r="AK10" s="75">
        <v>1087.696635164041</v>
      </c>
      <c r="AL10" s="75">
        <v>1031101.8126295913</v>
      </c>
      <c r="AM10" s="75">
        <v>417.71215817500001</v>
      </c>
      <c r="AN10" s="74">
        <v>642.99981670275531</v>
      </c>
      <c r="AO10" s="75">
        <v>1003405.9939771923</v>
      </c>
      <c r="AP10" s="76">
        <v>125.337798668</v>
      </c>
      <c r="AQ10" s="75">
        <v>448.69999999999948</v>
      </c>
      <c r="AR10" s="75">
        <v>708253.93271948444</v>
      </c>
      <c r="AS10" s="75">
        <v>46616.479676800001</v>
      </c>
      <c r="AT10" s="77">
        <v>21043.293425406762</v>
      </c>
      <c r="AU10" s="75">
        <v>86729.666666605059</v>
      </c>
      <c r="AV10" s="77">
        <v>157128.46234636407</v>
      </c>
      <c r="AW10" s="78"/>
    </row>
    <row r="11" spans="1:49" ht="14.45" customHeight="1" x14ac:dyDescent="0.25">
      <c r="A11" s="23">
        <f t="shared" si="0"/>
        <v>44347</v>
      </c>
      <c r="B11" s="75">
        <v>6481.6771657152158</v>
      </c>
      <c r="C11" s="75">
        <v>120.00000000000009</v>
      </c>
      <c r="D11" s="75">
        <v>61.880000000000088</v>
      </c>
      <c r="E11" s="75">
        <v>0</v>
      </c>
      <c r="F11" s="74">
        <v>6027.5153245406764</v>
      </c>
      <c r="G11" s="75">
        <v>101.88000000003606</v>
      </c>
      <c r="H11" s="75">
        <v>159.99999999999991</v>
      </c>
      <c r="I11" s="75">
        <v>70.020000000000039</v>
      </c>
      <c r="J11" s="76">
        <v>0</v>
      </c>
      <c r="K11" s="75">
        <v>9303.9171731627193</v>
      </c>
      <c r="L11" s="75">
        <v>23.000000000000021</v>
      </c>
      <c r="M11" s="75">
        <v>14.000000000000002</v>
      </c>
      <c r="N11" s="74">
        <v>7489.1234520669223</v>
      </c>
      <c r="O11" s="75">
        <v>161.00000000004192</v>
      </c>
      <c r="P11" s="75">
        <v>169.99999999999989</v>
      </c>
      <c r="Q11" s="75">
        <v>33.750000000000021</v>
      </c>
      <c r="R11" s="76">
        <v>27.627482686775625</v>
      </c>
      <c r="S11" s="75">
        <v>6749.6333542978937</v>
      </c>
      <c r="T11" s="75">
        <v>1278.463361521608</v>
      </c>
      <c r="U11" s="75">
        <v>0</v>
      </c>
      <c r="V11" s="74">
        <v>7636.7022818241394</v>
      </c>
      <c r="W11" s="75">
        <v>45.999999999999986</v>
      </c>
      <c r="X11" s="76">
        <v>31.040000000000013</v>
      </c>
      <c r="Y11" s="75">
        <v>6051.8802507873952</v>
      </c>
      <c r="Z11" s="75">
        <v>147.2850000000077</v>
      </c>
      <c r="AA11" s="75">
        <v>185.00000000000014</v>
      </c>
      <c r="AB11" s="79">
        <v>21.519999999999982</v>
      </c>
      <c r="AC11" s="75">
        <v>0</v>
      </c>
      <c r="AD11" s="74">
        <v>3573.6638605643006</v>
      </c>
      <c r="AE11" s="75">
        <v>9406.466437454128</v>
      </c>
      <c r="AF11" s="75">
        <v>1219.4396480147916</v>
      </c>
      <c r="AG11" s="75">
        <v>1550.0000000000023</v>
      </c>
      <c r="AH11" s="75">
        <v>21.476850548177932</v>
      </c>
      <c r="AI11" s="75">
        <v>700.00000000000307</v>
      </c>
      <c r="AJ11" s="76">
        <v>0</v>
      </c>
      <c r="AK11" s="75">
        <v>1084.2091725459306</v>
      </c>
      <c r="AL11" s="75">
        <v>991818.28678280336</v>
      </c>
      <c r="AM11" s="75">
        <v>386.81325250700002</v>
      </c>
      <c r="AN11" s="74">
        <v>642.99981670275531</v>
      </c>
      <c r="AO11" s="75">
        <v>959817.97363164334</v>
      </c>
      <c r="AP11" s="76">
        <v>120.22903332</v>
      </c>
      <c r="AQ11" s="75">
        <v>448.69999999999948</v>
      </c>
      <c r="AR11" s="75">
        <v>705827.50328417565</v>
      </c>
      <c r="AS11" s="75">
        <v>46929.991813699999</v>
      </c>
      <c r="AT11" s="77">
        <v>27429.188282873842</v>
      </c>
      <c r="AU11" s="75">
        <v>78435.666666717094</v>
      </c>
      <c r="AV11" s="77">
        <v>165398.77677717086</v>
      </c>
      <c r="AW11" s="78"/>
    </row>
    <row r="12" spans="1:49" ht="14.45" customHeight="1" x14ac:dyDescent="0.25">
      <c r="A12" s="23">
        <f t="shared" si="0"/>
        <v>44377</v>
      </c>
      <c r="B12" s="75">
        <v>6499.6656613188907</v>
      </c>
      <c r="C12" s="75">
        <v>240.00000000000014</v>
      </c>
      <c r="D12" s="75">
        <v>117.6200000000002</v>
      </c>
      <c r="E12" s="75">
        <v>15.0913675649672</v>
      </c>
      <c r="F12" s="74">
        <v>6027.9422818897574</v>
      </c>
      <c r="G12" s="75">
        <v>152.61999999994273</v>
      </c>
      <c r="H12" s="75">
        <v>274.99999999999983</v>
      </c>
      <c r="I12" s="75">
        <v>125.4500000000002</v>
      </c>
      <c r="J12" s="76">
        <v>0</v>
      </c>
      <c r="K12" s="75">
        <v>9314.7189836285997</v>
      </c>
      <c r="L12" s="75">
        <v>36.999999999999986</v>
      </c>
      <c r="M12" s="75">
        <v>19.999999999999975</v>
      </c>
      <c r="N12" s="74">
        <v>7496.7427225393612</v>
      </c>
      <c r="O12" s="75">
        <v>212.99999999941144</v>
      </c>
      <c r="P12" s="75">
        <v>229.99999999999989</v>
      </c>
      <c r="Q12" s="75">
        <v>151.42000000000033</v>
      </c>
      <c r="R12" s="76">
        <v>0</v>
      </c>
      <c r="S12" s="75">
        <v>6749.6333542978937</v>
      </c>
      <c r="T12" s="75">
        <v>3382.0133327295043</v>
      </c>
      <c r="U12" s="75">
        <v>69.501619798755101</v>
      </c>
      <c r="V12" s="74">
        <v>7643.656430380569</v>
      </c>
      <c r="W12" s="75">
        <v>57.999999999999986</v>
      </c>
      <c r="X12" s="76">
        <v>42.739999999999988</v>
      </c>
      <c r="Y12" s="75">
        <v>6056.7693855642983</v>
      </c>
      <c r="Z12" s="75">
        <v>138.33099999990878</v>
      </c>
      <c r="AA12" s="75">
        <v>175.00000000000028</v>
      </c>
      <c r="AB12" s="79">
        <v>21.520000000000003</v>
      </c>
      <c r="AC12" s="75">
        <v>0</v>
      </c>
      <c r="AD12" s="74">
        <v>3586.2774421587887</v>
      </c>
      <c r="AE12" s="75">
        <v>10486.89022954637</v>
      </c>
      <c r="AF12" s="75">
        <v>1942.9747685581692</v>
      </c>
      <c r="AG12" s="75">
        <v>2249.9999999999977</v>
      </c>
      <c r="AH12" s="75">
        <v>36.117070860788971</v>
      </c>
      <c r="AI12" s="75">
        <v>739.99999999999864</v>
      </c>
      <c r="AJ12" s="76">
        <v>0</v>
      </c>
      <c r="AK12" s="75">
        <v>1081.307819442256</v>
      </c>
      <c r="AL12" s="75">
        <v>946335.24650487222</v>
      </c>
      <c r="AM12" s="75">
        <v>368.85009165900004</v>
      </c>
      <c r="AN12" s="74">
        <v>642.99981670275531</v>
      </c>
      <c r="AO12" s="75">
        <v>906125.33151888591</v>
      </c>
      <c r="AP12" s="76">
        <v>113.613250135</v>
      </c>
      <c r="AQ12" s="75">
        <v>448.69999999999948</v>
      </c>
      <c r="AR12" s="75">
        <v>718278.92434749741</v>
      </c>
      <c r="AS12" s="75">
        <v>47828.673017900001</v>
      </c>
      <c r="AT12" s="77">
        <v>27521.272227658366</v>
      </c>
      <c r="AU12" s="75">
        <v>75852.66666664106</v>
      </c>
      <c r="AV12" s="77">
        <v>94071.909431189182</v>
      </c>
      <c r="AW12" s="78"/>
    </row>
    <row r="13" spans="1:49" ht="14.45" customHeight="1" x14ac:dyDescent="0.25">
      <c r="A13" s="23">
        <f t="shared" si="0"/>
        <v>44408</v>
      </c>
      <c r="B13" s="75">
        <v>6503.656403313641</v>
      </c>
      <c r="C13" s="75">
        <v>159.99999999999991</v>
      </c>
      <c r="D13" s="75">
        <v>126.64000000000021</v>
      </c>
      <c r="E13" s="75">
        <v>24.828498068316279</v>
      </c>
      <c r="F13" s="74">
        <v>6029.6453076115422</v>
      </c>
      <c r="G13" s="75">
        <v>146.64000000008031</v>
      </c>
      <c r="H13" s="75">
        <v>179.99999999999983</v>
      </c>
      <c r="I13" s="75">
        <v>65.450000000000216</v>
      </c>
      <c r="J13" s="76">
        <v>0</v>
      </c>
      <c r="K13" s="75">
        <v>9309.5316016404104</v>
      </c>
      <c r="L13" s="75">
        <v>14.999999999999998</v>
      </c>
      <c r="M13" s="75">
        <v>23.499999999999993</v>
      </c>
      <c r="N13" s="74">
        <v>7499.9093933726963</v>
      </c>
      <c r="O13" s="75">
        <v>98.499999999929869</v>
      </c>
      <c r="P13" s="75">
        <v>90.000000000000227</v>
      </c>
      <c r="Q13" s="75">
        <v>71.270000000000124</v>
      </c>
      <c r="R13" s="76">
        <v>0</v>
      </c>
      <c r="S13" s="75">
        <v>6749.6333542978937</v>
      </c>
      <c r="T13" s="75">
        <v>1400.0264513210388</v>
      </c>
      <c r="U13" s="75">
        <v>0</v>
      </c>
      <c r="V13" s="74">
        <v>7635.0812115157405</v>
      </c>
      <c r="W13" s="75">
        <v>24.000000000000014</v>
      </c>
      <c r="X13" s="76">
        <v>41.54</v>
      </c>
      <c r="Y13" s="75">
        <v>6054.4341266732226</v>
      </c>
      <c r="Z13" s="75">
        <v>56.371999999997875</v>
      </c>
      <c r="AA13" s="75">
        <v>40.000000000000014</v>
      </c>
      <c r="AB13" s="79">
        <v>23.600000000000023</v>
      </c>
      <c r="AC13" s="75">
        <v>0</v>
      </c>
      <c r="AD13" s="74">
        <v>3584.3183594488155</v>
      </c>
      <c r="AE13" s="75">
        <v>10314.016311172372</v>
      </c>
      <c r="AF13" s="75">
        <v>728.50827105616145</v>
      </c>
      <c r="AG13" s="75">
        <v>820.00000000000261</v>
      </c>
      <c r="AH13" s="75">
        <v>45.212098386532979</v>
      </c>
      <c r="AI13" s="75">
        <v>869.99999999999932</v>
      </c>
      <c r="AJ13" s="76">
        <v>0</v>
      </c>
      <c r="AK13" s="75">
        <v>1081.5565367257207</v>
      </c>
      <c r="AL13" s="75">
        <v>826237.79729111888</v>
      </c>
      <c r="AM13" s="75">
        <v>322.15889363100001</v>
      </c>
      <c r="AN13" s="74">
        <v>641.99704448162663</v>
      </c>
      <c r="AO13" s="75">
        <v>816363.80315528519</v>
      </c>
      <c r="AP13" s="76">
        <v>102.502960379</v>
      </c>
      <c r="AQ13" s="75">
        <v>447.99999999999949</v>
      </c>
      <c r="AR13" s="75">
        <v>693138.83763795125</v>
      </c>
      <c r="AS13" s="75">
        <v>45883.071382299997</v>
      </c>
      <c r="AT13" s="77">
        <v>28006.191350299472</v>
      </c>
      <c r="AU13" s="75">
        <v>78429.666666628895</v>
      </c>
      <c r="AV13" s="77">
        <v>46520.664533748983</v>
      </c>
      <c r="AW13" s="78"/>
    </row>
    <row r="14" spans="1:49" ht="14.45" customHeight="1" x14ac:dyDescent="0.25">
      <c r="A14" s="23">
        <f t="shared" si="0"/>
        <v>44439</v>
      </c>
      <c r="B14" s="75">
        <v>6502.5144088910693</v>
      </c>
      <c r="C14" s="75">
        <v>59.999999999999993</v>
      </c>
      <c r="D14" s="75">
        <v>66.639999999999873</v>
      </c>
      <c r="E14" s="75">
        <v>0</v>
      </c>
      <c r="F14" s="74">
        <v>6028.9362294947441</v>
      </c>
      <c r="G14" s="75">
        <v>76.640000000024315</v>
      </c>
      <c r="H14" s="75">
        <v>70.000000000000327</v>
      </c>
      <c r="I14" s="75">
        <v>92.230000000000246</v>
      </c>
      <c r="J14" s="76">
        <v>0</v>
      </c>
      <c r="K14" s="75">
        <v>9302.1676841207245</v>
      </c>
      <c r="L14" s="75">
        <v>8.0000000000000266</v>
      </c>
      <c r="M14" s="75">
        <v>18.999999999999979</v>
      </c>
      <c r="N14" s="74">
        <v>7497.9129599409371</v>
      </c>
      <c r="O14" s="75">
        <v>60.999999999992951</v>
      </c>
      <c r="P14" s="75">
        <v>49.999999999999964</v>
      </c>
      <c r="Q14" s="75">
        <v>76.219999999999843</v>
      </c>
      <c r="R14" s="76">
        <v>0</v>
      </c>
      <c r="S14" s="75">
        <v>6749.6333542978937</v>
      </c>
      <c r="T14" s="75">
        <v>1399.9341022951151</v>
      </c>
      <c r="U14" s="75">
        <v>0</v>
      </c>
      <c r="V14" s="74">
        <v>7622.1419188648215</v>
      </c>
      <c r="W14" s="75">
        <v>15.999999999999993</v>
      </c>
      <c r="X14" s="76">
        <v>37.810000000000016</v>
      </c>
      <c r="Y14" s="75">
        <v>6052.1794711942193</v>
      </c>
      <c r="Z14" s="75">
        <v>53.082999999998947</v>
      </c>
      <c r="AA14" s="75">
        <v>31.999999999999986</v>
      </c>
      <c r="AB14" s="79">
        <v>28.760000000000037</v>
      </c>
      <c r="AC14" s="75">
        <v>0</v>
      </c>
      <c r="AD14" s="74">
        <v>3579.4499130577387</v>
      </c>
      <c r="AE14" s="75">
        <v>9892.4843837677527</v>
      </c>
      <c r="AF14" s="75">
        <v>478.90959273570672</v>
      </c>
      <c r="AG14" s="75">
        <v>384.99999999999989</v>
      </c>
      <c r="AH14" s="75">
        <v>44.164075232280254</v>
      </c>
      <c r="AI14" s="75">
        <v>889.9999999999992</v>
      </c>
      <c r="AJ14" s="76">
        <v>0</v>
      </c>
      <c r="AK14" s="75">
        <v>1082.6325032644345</v>
      </c>
      <c r="AL14" s="75">
        <v>785253.55812506308</v>
      </c>
      <c r="AM14" s="75">
        <v>305.249117893</v>
      </c>
      <c r="AN14" s="74">
        <v>641.99704448162663</v>
      </c>
      <c r="AO14" s="75">
        <v>750383.23392553872</v>
      </c>
      <c r="AP14" s="76">
        <v>94.149351253500001</v>
      </c>
      <c r="AQ14" s="75">
        <v>447.50000000328043</v>
      </c>
      <c r="AR14" s="75">
        <v>623899.01914267149</v>
      </c>
      <c r="AS14" s="75">
        <v>40891.381243099997</v>
      </c>
      <c r="AT14" s="77">
        <v>28476.748756777473</v>
      </c>
      <c r="AU14" s="75">
        <v>78429.666666628895</v>
      </c>
      <c r="AV14" s="77">
        <v>46520.664533748983</v>
      </c>
      <c r="AW14" s="78"/>
    </row>
    <row r="15" spans="1:49" ht="14.45" customHeight="1" x14ac:dyDescent="0.25">
      <c r="A15" s="23">
        <f t="shared" si="0"/>
        <v>44469</v>
      </c>
      <c r="B15" s="75">
        <v>6500.3823319881822</v>
      </c>
      <c r="C15" s="75">
        <v>45.000000000000014</v>
      </c>
      <c r="D15" s="75">
        <v>59.500000000000021</v>
      </c>
      <c r="E15" s="75">
        <v>39.896753486919231</v>
      </c>
      <c r="F15" s="74">
        <v>6028.1052025262406</v>
      </c>
      <c r="G15" s="75">
        <v>67.499999999999943</v>
      </c>
      <c r="H15" s="75">
        <v>53.000000000000036</v>
      </c>
      <c r="I15" s="75">
        <v>89.259999999999991</v>
      </c>
      <c r="J15" s="76">
        <v>0</v>
      </c>
      <c r="K15" s="75">
        <v>9293.3380778215123</v>
      </c>
      <c r="L15" s="75">
        <v>5.9999999999999742</v>
      </c>
      <c r="M15" s="75">
        <v>17.499999999999968</v>
      </c>
      <c r="N15" s="74">
        <v>7494.1980308726952</v>
      </c>
      <c r="O15" s="75">
        <v>44.499999999957936</v>
      </c>
      <c r="P15" s="75">
        <v>33.000000000000007</v>
      </c>
      <c r="Q15" s="75">
        <v>73.450000000000188</v>
      </c>
      <c r="R15" s="76">
        <v>0</v>
      </c>
      <c r="S15" s="75">
        <v>6749.6333542978937</v>
      </c>
      <c r="T15" s="75">
        <v>1349.93200390115</v>
      </c>
      <c r="U15" s="75">
        <v>28.420344874565075</v>
      </c>
      <c r="V15" s="74">
        <v>7608.8436799540605</v>
      </c>
      <c r="W15" s="75">
        <v>13.999999999999998</v>
      </c>
      <c r="X15" s="76">
        <v>29.619999999999997</v>
      </c>
      <c r="Y15" s="75">
        <v>6051.7201362532742</v>
      </c>
      <c r="Z15" s="75">
        <v>47.388999999958266</v>
      </c>
      <c r="AA15" s="75">
        <v>33.000000000000007</v>
      </c>
      <c r="AB15" s="79">
        <v>24.200000000000006</v>
      </c>
      <c r="AC15" s="75">
        <v>0</v>
      </c>
      <c r="AD15" s="74">
        <v>3576.0603323162691</v>
      </c>
      <c r="AE15" s="75">
        <v>9605.7949849168526</v>
      </c>
      <c r="AF15" s="75">
        <v>420.08553246373447</v>
      </c>
      <c r="AG15" s="75">
        <v>324.99999999999994</v>
      </c>
      <c r="AH15" s="75">
        <v>39.710075843425578</v>
      </c>
      <c r="AI15" s="75">
        <v>689.99999999999716</v>
      </c>
      <c r="AJ15" s="76">
        <v>0</v>
      </c>
      <c r="AK15" s="75">
        <v>1082.2849543897626</v>
      </c>
      <c r="AL15" s="75">
        <v>712380.49882419524</v>
      </c>
      <c r="AM15" s="75">
        <v>275.56564761099997</v>
      </c>
      <c r="AN15" s="74">
        <v>640.00753110564244</v>
      </c>
      <c r="AO15" s="75">
        <v>733393.2891429934</v>
      </c>
      <c r="AP15" s="76">
        <v>91.329986627699995</v>
      </c>
      <c r="AQ15" s="75">
        <v>447.49999999999949</v>
      </c>
      <c r="AR15" s="75">
        <v>530362.88653723814</v>
      </c>
      <c r="AS15" s="75">
        <v>34511.371866399997</v>
      </c>
      <c r="AT15" s="77">
        <v>24583.034059359456</v>
      </c>
      <c r="AU15" s="75">
        <v>60337.666666763784</v>
      </c>
      <c r="AV15" s="77">
        <v>134387.28557565046</v>
      </c>
      <c r="AW15" s="78"/>
    </row>
    <row r="16" spans="1:49" ht="14.45" customHeight="1" x14ac:dyDescent="0.25">
      <c r="A16" s="23">
        <f t="shared" si="0"/>
        <v>44500</v>
      </c>
      <c r="B16" s="75">
        <v>6498.0734815616725</v>
      </c>
      <c r="C16" s="75">
        <v>45.45000000000001</v>
      </c>
      <c r="D16" s="75">
        <v>61.489999999999711</v>
      </c>
      <c r="E16" s="75">
        <v>0</v>
      </c>
      <c r="F16" s="74">
        <v>6027.6905981955315</v>
      </c>
      <c r="G16" s="75">
        <v>72.020000000074475</v>
      </c>
      <c r="H16" s="75">
        <v>55.980000000000025</v>
      </c>
      <c r="I16" s="75">
        <v>81.080000000000126</v>
      </c>
      <c r="J16" s="76">
        <v>0</v>
      </c>
      <c r="K16" s="75">
        <v>9288.3849264107503</v>
      </c>
      <c r="L16" s="75">
        <v>5.8999999999999986</v>
      </c>
      <c r="M16" s="75">
        <v>11.49999999999998</v>
      </c>
      <c r="N16" s="74">
        <v>7490.4347819553723</v>
      </c>
      <c r="O16" s="75">
        <v>40.469999999951213</v>
      </c>
      <c r="P16" s="75">
        <v>34.870000000000033</v>
      </c>
      <c r="Q16" s="75">
        <v>69.619999999999791</v>
      </c>
      <c r="R16" s="76">
        <v>0</v>
      </c>
      <c r="S16" s="75">
        <v>6749.6333542978937</v>
      </c>
      <c r="T16" s="75">
        <v>1258.3253007828425</v>
      </c>
      <c r="U16" s="75">
        <v>0</v>
      </c>
      <c r="V16" s="74">
        <v>7602.6910046915937</v>
      </c>
      <c r="W16" s="75">
        <v>12.01</v>
      </c>
      <c r="X16" s="76">
        <v>17.199999999999985</v>
      </c>
      <c r="Y16" s="75">
        <v>6052.538943044613</v>
      </c>
      <c r="Z16" s="75">
        <v>42.112000000058686</v>
      </c>
      <c r="AA16" s="75">
        <v>37.670000000000016</v>
      </c>
      <c r="AB16" s="79">
        <v>21.459999999999976</v>
      </c>
      <c r="AC16" s="75">
        <v>0</v>
      </c>
      <c r="AD16" s="74">
        <v>3575.733470538054</v>
      </c>
      <c r="AE16" s="75">
        <v>9578.4520050096198</v>
      </c>
      <c r="AF16" s="75">
        <v>477.65340692351509</v>
      </c>
      <c r="AG16" s="75">
        <v>424.10999999999984</v>
      </c>
      <c r="AH16" s="75">
        <v>27.183824488626247</v>
      </c>
      <c r="AI16" s="75">
        <v>479.99999999999972</v>
      </c>
      <c r="AJ16" s="76">
        <v>0</v>
      </c>
      <c r="AK16" s="75">
        <v>1081.9366778936997</v>
      </c>
      <c r="AL16" s="75">
        <v>519706.02614922723</v>
      </c>
      <c r="AM16" s="75">
        <v>204.06155600400001</v>
      </c>
      <c r="AN16" s="74">
        <v>632.99732935367388</v>
      </c>
      <c r="AO16" s="75">
        <v>677775.01070282166</v>
      </c>
      <c r="AP16" s="76">
        <v>81.966475498299999</v>
      </c>
      <c r="AQ16" s="75">
        <v>447.49999999999949</v>
      </c>
      <c r="AR16" s="75">
        <v>470553.67232736934</v>
      </c>
      <c r="AS16" s="75">
        <v>30973.528849900002</v>
      </c>
      <c r="AT16" s="77">
        <v>23522.801482902527</v>
      </c>
      <c r="AU16" s="75">
        <v>46385.666666698904</v>
      </c>
      <c r="AV16" s="77">
        <v>166432.34728960614</v>
      </c>
      <c r="AW16" s="78"/>
    </row>
    <row r="17" spans="1:49" ht="14.45" customHeight="1" x14ac:dyDescent="0.25">
      <c r="A17" s="23">
        <f t="shared" si="0"/>
        <v>44530</v>
      </c>
      <c r="B17" s="75">
        <v>6493.88584330708</v>
      </c>
      <c r="C17" s="75">
        <v>43.560000000000024</v>
      </c>
      <c r="D17" s="75">
        <v>72.890000000000242</v>
      </c>
      <c r="E17" s="75">
        <v>0</v>
      </c>
      <c r="F17" s="74">
        <v>6027.6468638123297</v>
      </c>
      <c r="G17" s="75">
        <v>80.189999999944476</v>
      </c>
      <c r="H17" s="75">
        <v>50.859999999999964</v>
      </c>
      <c r="I17" s="75">
        <v>78.470000000000226</v>
      </c>
      <c r="J17" s="76">
        <v>0</v>
      </c>
      <c r="K17" s="75">
        <v>9288.151172309701</v>
      </c>
      <c r="L17" s="75">
        <v>4.8000000000000025</v>
      </c>
      <c r="M17" s="75">
        <v>5.0499999999999972</v>
      </c>
      <c r="N17" s="74">
        <v>7492.3609773293883</v>
      </c>
      <c r="O17" s="75">
        <v>30.199999999974757</v>
      </c>
      <c r="P17" s="75">
        <v>29.949999999999974</v>
      </c>
      <c r="Q17" s="75">
        <v>14.86000000000001</v>
      </c>
      <c r="R17" s="76">
        <v>0</v>
      </c>
      <c r="S17" s="75">
        <v>6749.6333542978937</v>
      </c>
      <c r="T17" s="75">
        <v>356.75407507607275</v>
      </c>
      <c r="U17" s="75">
        <v>0</v>
      </c>
      <c r="V17" s="74">
        <v>7609.5241842519599</v>
      </c>
      <c r="W17" s="75">
        <v>8.4500000000000242</v>
      </c>
      <c r="X17" s="76">
        <v>2.4799999999999986</v>
      </c>
      <c r="Y17" s="75">
        <v>6052.4221964566868</v>
      </c>
      <c r="Z17" s="75">
        <v>20.278000000000659</v>
      </c>
      <c r="AA17" s="75">
        <v>26.270000000000003</v>
      </c>
      <c r="AB17" s="79">
        <v>20.769999999999989</v>
      </c>
      <c r="AC17" s="75">
        <v>0</v>
      </c>
      <c r="AD17" s="74">
        <v>3574.818447276899</v>
      </c>
      <c r="AE17" s="75">
        <v>9502.1576117438763</v>
      </c>
      <c r="AF17" s="75">
        <v>443.9423416573099</v>
      </c>
      <c r="AG17" s="75">
        <v>436.88000000000011</v>
      </c>
      <c r="AH17" s="75">
        <v>26.340284523117909</v>
      </c>
      <c r="AI17" s="75">
        <v>500.00000000000017</v>
      </c>
      <c r="AJ17" s="76">
        <v>0</v>
      </c>
      <c r="AK17" s="75">
        <v>1080.4780742093164</v>
      </c>
      <c r="AL17" s="75">
        <v>638366.66793851519</v>
      </c>
      <c r="AM17" s="75">
        <v>252.86904258000001</v>
      </c>
      <c r="AN17" s="74">
        <v>634.99500232611479</v>
      </c>
      <c r="AO17" s="75">
        <v>558205.91425738728</v>
      </c>
      <c r="AP17" s="76">
        <v>66.586383910799995</v>
      </c>
      <c r="AQ17" s="75">
        <v>447.49999999999949</v>
      </c>
      <c r="AR17" s="75">
        <v>355284.46126101678</v>
      </c>
      <c r="AS17" s="75">
        <v>23088.8005343</v>
      </c>
      <c r="AT17" s="77">
        <v>16775.329300589445</v>
      </c>
      <c r="AU17" s="75">
        <v>44828.666666610479</v>
      </c>
      <c r="AV17" s="77">
        <v>160230.04904937069</v>
      </c>
      <c r="AW17" s="78"/>
    </row>
    <row r="18" spans="1:49" ht="14.45" customHeight="1" x14ac:dyDescent="0.25">
      <c r="A18" s="23">
        <f t="shared" si="0"/>
        <v>44561</v>
      </c>
      <c r="B18" s="75">
        <v>6487.4206533464494</v>
      </c>
      <c r="C18" s="75">
        <v>32.799999999999976</v>
      </c>
      <c r="D18" s="75">
        <v>75.320000000000064</v>
      </c>
      <c r="E18" s="75">
        <v>0</v>
      </c>
      <c r="F18" s="74">
        <v>6027.1793241141668</v>
      </c>
      <c r="G18" s="75">
        <v>75.620000000012837</v>
      </c>
      <c r="H18" s="75">
        <v>33.100000000000009</v>
      </c>
      <c r="I18" s="75">
        <v>92.230000000000246</v>
      </c>
      <c r="J18" s="76">
        <v>0</v>
      </c>
      <c r="K18" s="75">
        <v>9287.6803767716428</v>
      </c>
      <c r="L18" s="75">
        <v>4.6999999999999975</v>
      </c>
      <c r="M18" s="75">
        <v>5.200000000000002</v>
      </c>
      <c r="N18" s="74">
        <v>7491.7127579068165</v>
      </c>
      <c r="O18" s="75">
        <v>26.999999999971958</v>
      </c>
      <c r="P18" s="75">
        <v>26.499999999999975</v>
      </c>
      <c r="Q18" s="75">
        <v>31.919999999999991</v>
      </c>
      <c r="R18" s="76">
        <v>0</v>
      </c>
      <c r="S18" s="75">
        <v>6749.6333542978937</v>
      </c>
      <c r="T18" s="75">
        <v>622.82031735068153</v>
      </c>
      <c r="U18" s="75">
        <v>0</v>
      </c>
      <c r="V18" s="74">
        <v>7614.2492346784702</v>
      </c>
      <c r="W18" s="75">
        <v>6.9000000000000021</v>
      </c>
      <c r="X18" s="76">
        <v>1.8399999999999976</v>
      </c>
      <c r="Y18" s="75">
        <v>6052.2492254593117</v>
      </c>
      <c r="Z18" s="75">
        <v>19.994000000008448</v>
      </c>
      <c r="AA18" s="75">
        <v>25.099999999999987</v>
      </c>
      <c r="AB18" s="79">
        <v>21.459999999999976</v>
      </c>
      <c r="AC18" s="75">
        <v>0</v>
      </c>
      <c r="AD18" s="74">
        <v>3572.622698425193</v>
      </c>
      <c r="AE18" s="75">
        <v>9320.7284112580783</v>
      </c>
      <c r="AF18" s="75">
        <v>424.93172860436903</v>
      </c>
      <c r="AG18" s="75">
        <v>364.00000000000028</v>
      </c>
      <c r="AH18" s="75">
        <v>20.875260687499168</v>
      </c>
      <c r="AI18" s="75">
        <v>599.99999999999989</v>
      </c>
      <c r="AJ18" s="76">
        <v>0</v>
      </c>
      <c r="AK18" s="75">
        <v>1082.0466642290014</v>
      </c>
      <c r="AL18" s="75">
        <v>475865.2746963221</v>
      </c>
      <c r="AM18" s="75">
        <v>185.75463983</v>
      </c>
      <c r="AN18" s="74">
        <v>639.50562092519613</v>
      </c>
      <c r="AO18" s="75">
        <v>336151.08734153089</v>
      </c>
      <c r="AP18" s="76">
        <v>41.619479139399999</v>
      </c>
      <c r="AQ18" s="75">
        <v>446.49999999999949</v>
      </c>
      <c r="AR18" s="75">
        <v>236863.44934544526</v>
      </c>
      <c r="AS18" s="75">
        <v>14675.7187675</v>
      </c>
      <c r="AT18" s="77">
        <v>12222.665272745455</v>
      </c>
      <c r="AU18" s="75">
        <v>46309.666666595011</v>
      </c>
      <c r="AV18" s="77">
        <v>82700.008297487788</v>
      </c>
      <c r="AW18" s="78"/>
    </row>
    <row r="19" spans="1:49" ht="14.45" customHeight="1" x14ac:dyDescent="0.25">
      <c r="A19" s="23">
        <f t="shared" si="0"/>
        <v>44592</v>
      </c>
      <c r="B19" s="75">
        <v>6479.9662073162663</v>
      </c>
      <c r="C19" s="75">
        <v>31.100000000000019</v>
      </c>
      <c r="D19" s="75">
        <v>75.320000000000064</v>
      </c>
      <c r="E19" s="75">
        <v>0</v>
      </c>
      <c r="F19" s="74">
        <v>6026.9330140419888</v>
      </c>
      <c r="G19" s="75">
        <v>84.320000000008619</v>
      </c>
      <c r="H19" s="75">
        <v>40.099999999999973</v>
      </c>
      <c r="I19" s="75">
        <v>92.230000000000246</v>
      </c>
      <c r="J19" s="76">
        <v>0</v>
      </c>
      <c r="K19" s="75">
        <v>9286.8212048228252</v>
      </c>
      <c r="L19" s="75">
        <v>4.2999999999999989</v>
      </c>
      <c r="M19" s="75">
        <v>5.200000000000002</v>
      </c>
      <c r="N19" s="74">
        <v>7490.9089814304389</v>
      </c>
      <c r="O19" s="75">
        <v>25.799999999920129</v>
      </c>
      <c r="P19" s="75">
        <v>24.899999999999984</v>
      </c>
      <c r="Q19" s="75">
        <v>31.919999999999991</v>
      </c>
      <c r="R19" s="76">
        <v>0</v>
      </c>
      <c r="S19" s="75">
        <v>6749.6333542978937</v>
      </c>
      <c r="T19" s="75">
        <v>617.94128509152347</v>
      </c>
      <c r="U19" s="75">
        <v>0</v>
      </c>
      <c r="V19" s="74">
        <v>7617.4453641404116</v>
      </c>
      <c r="W19" s="75">
        <v>5.6999999999999993</v>
      </c>
      <c r="X19" s="76">
        <v>1.8399999999999976</v>
      </c>
      <c r="Y19" s="75">
        <v>6051.8793226049802</v>
      </c>
      <c r="Z19" s="75">
        <v>17.640000000001951</v>
      </c>
      <c r="AA19" s="75">
        <v>21.5</v>
      </c>
      <c r="AB19" s="79">
        <v>21.459999999999976</v>
      </c>
      <c r="AC19" s="75">
        <v>0</v>
      </c>
      <c r="AD19" s="74">
        <v>3569.0663658136446</v>
      </c>
      <c r="AE19" s="75">
        <v>9031.8329260124192</v>
      </c>
      <c r="AF19" s="75">
        <v>414.18572860317636</v>
      </c>
      <c r="AG19" s="75">
        <v>355.09999999999991</v>
      </c>
      <c r="AH19" s="75">
        <v>6.1928459604057284</v>
      </c>
      <c r="AI19" s="75">
        <v>720.00000000000307</v>
      </c>
      <c r="AJ19" s="76">
        <v>0</v>
      </c>
      <c r="AK19" s="75">
        <v>1084.8964102690277</v>
      </c>
      <c r="AL19" s="75">
        <v>518438.79016859224</v>
      </c>
      <c r="AM19" s="75">
        <v>204.160293438</v>
      </c>
      <c r="AN19" s="74">
        <v>641.79754691929065</v>
      </c>
      <c r="AO19" s="75">
        <v>425881.90750739939</v>
      </c>
      <c r="AP19" s="76">
        <v>53.769630227</v>
      </c>
      <c r="AQ19" s="75">
        <v>446.49999999999949</v>
      </c>
      <c r="AR19" s="75">
        <v>255503.56996647175</v>
      </c>
      <c r="AS19" s="75">
        <v>16007.025911999999</v>
      </c>
      <c r="AT19" s="77">
        <v>10989.576004349437</v>
      </c>
      <c r="AU19" s="75">
        <v>89889.33333322953</v>
      </c>
      <c r="AV19" s="77">
        <v>89647.311662721957</v>
      </c>
      <c r="AW19" s="78"/>
    </row>
    <row r="20" spans="1:49" ht="14.45" customHeight="1" x14ac:dyDescent="0.25">
      <c r="A20" s="23">
        <f t="shared" si="0"/>
        <v>44620</v>
      </c>
      <c r="B20" s="75">
        <v>6471.7066390747968</v>
      </c>
      <c r="C20" s="75">
        <v>28.499999999999979</v>
      </c>
      <c r="D20" s="75">
        <v>68.029999999999902</v>
      </c>
      <c r="E20" s="75">
        <v>0</v>
      </c>
      <c r="F20" s="74">
        <v>6026.8735192257154</v>
      </c>
      <c r="G20" s="75">
        <v>83.130000000085104</v>
      </c>
      <c r="H20" s="75">
        <v>43.600000000000023</v>
      </c>
      <c r="I20" s="75">
        <v>83.309999999999761</v>
      </c>
      <c r="J20" s="76">
        <v>0</v>
      </c>
      <c r="K20" s="75">
        <v>9286.0445429461834</v>
      </c>
      <c r="L20" s="75">
        <v>3.9000000000000021</v>
      </c>
      <c r="M20" s="75">
        <v>4.7</v>
      </c>
      <c r="N20" s="74">
        <v>7490.2724045275509</v>
      </c>
      <c r="O20" s="75">
        <v>23.599999999966361</v>
      </c>
      <c r="P20" s="75">
        <v>22.800000000000018</v>
      </c>
      <c r="Q20" s="75">
        <v>28.350000000000026</v>
      </c>
      <c r="R20" s="76">
        <v>0</v>
      </c>
      <c r="S20" s="75">
        <v>6749.6333542978937</v>
      </c>
      <c r="T20" s="75">
        <v>616.17183301156774</v>
      </c>
      <c r="U20" s="75">
        <v>0</v>
      </c>
      <c r="V20" s="74">
        <v>7620.1299510826684</v>
      </c>
      <c r="W20" s="75">
        <v>5.2</v>
      </c>
      <c r="X20" s="76">
        <v>1.6699999999999993</v>
      </c>
      <c r="Y20" s="75">
        <v>6052.364870538051</v>
      </c>
      <c r="Z20" s="75">
        <v>26.081000000062964</v>
      </c>
      <c r="AA20" s="75">
        <v>29.900000000000013</v>
      </c>
      <c r="AB20" s="79">
        <v>19.380000000000024</v>
      </c>
      <c r="AC20" s="75">
        <v>0</v>
      </c>
      <c r="AD20" s="74">
        <v>3566.6052112860853</v>
      </c>
      <c r="AE20" s="75">
        <v>8835.4949942910134</v>
      </c>
      <c r="AF20" s="75">
        <v>434.44545221263246</v>
      </c>
      <c r="AG20" s="75">
        <v>399.30000000000041</v>
      </c>
      <c r="AH20" s="75">
        <v>6.4904139054350445</v>
      </c>
      <c r="AI20" s="75">
        <v>639.99999999999807</v>
      </c>
      <c r="AJ20" s="76">
        <v>0</v>
      </c>
      <c r="AK20" s="75">
        <v>1086.9177114829386</v>
      </c>
      <c r="AL20" s="75">
        <v>519558.04999557254</v>
      </c>
      <c r="AM20" s="75">
        <v>200.898766381</v>
      </c>
      <c r="AN20" s="74">
        <v>641.79754691929065</v>
      </c>
      <c r="AO20" s="75">
        <v>499492.13595151913</v>
      </c>
      <c r="AP20" s="76">
        <v>63.167488013499998</v>
      </c>
      <c r="AQ20" s="75">
        <v>446.49999999999949</v>
      </c>
      <c r="AR20" s="75">
        <v>393876.47991926287</v>
      </c>
      <c r="AS20" s="75">
        <v>25558.567301999999</v>
      </c>
      <c r="AT20" s="77">
        <v>11073.016678931948</v>
      </c>
      <c r="AU20" s="75">
        <v>16677.333333329174</v>
      </c>
      <c r="AV20" s="77">
        <v>84434.987566439537</v>
      </c>
      <c r="AW20" s="78"/>
    </row>
    <row r="21" spans="1:49" ht="14.45" customHeight="1" x14ac:dyDescent="0.25">
      <c r="A21" s="23">
        <f t="shared" si="0"/>
        <v>44651</v>
      </c>
      <c r="B21" s="75">
        <v>6467.4918387467123</v>
      </c>
      <c r="C21" s="75">
        <v>53.099999999999987</v>
      </c>
      <c r="D21" s="75">
        <v>70.409999999999798</v>
      </c>
      <c r="E21" s="75">
        <v>0</v>
      </c>
      <c r="F21" s="74">
        <v>6026.7955770341141</v>
      </c>
      <c r="G21" s="75">
        <v>112.20999999996292</v>
      </c>
      <c r="H21" s="75">
        <v>94.899999999999991</v>
      </c>
      <c r="I21" s="75">
        <v>112.20999999999981</v>
      </c>
      <c r="J21" s="76">
        <v>0</v>
      </c>
      <c r="K21" s="75">
        <v>9285.3534417650826</v>
      </c>
      <c r="L21" s="75">
        <v>4.4999999999999982</v>
      </c>
      <c r="M21" s="75">
        <v>5.200000000000002</v>
      </c>
      <c r="N21" s="74">
        <v>7490.8941745078664</v>
      </c>
      <c r="O21" s="75">
        <v>38.000000000048999</v>
      </c>
      <c r="P21" s="75">
        <v>37.299999999999983</v>
      </c>
      <c r="Q21" s="75">
        <v>32.710000000000008</v>
      </c>
      <c r="R21" s="76">
        <v>0</v>
      </c>
      <c r="S21" s="75">
        <v>6749.6333542978937</v>
      </c>
      <c r="T21" s="75">
        <v>690.39777361096367</v>
      </c>
      <c r="U21" s="75">
        <v>0</v>
      </c>
      <c r="V21" s="74">
        <v>7625.1494262467113</v>
      </c>
      <c r="W21" s="75">
        <v>9.2999999999999883</v>
      </c>
      <c r="X21" s="76">
        <v>1.8399999999999976</v>
      </c>
      <c r="Y21" s="75">
        <v>6056.5309961614112</v>
      </c>
      <c r="Z21" s="75">
        <v>79.39699999994744</v>
      </c>
      <c r="AA21" s="75">
        <v>96.000000000000199</v>
      </c>
      <c r="AB21" s="79">
        <v>21.459999999999976</v>
      </c>
      <c r="AC21" s="75">
        <v>0</v>
      </c>
      <c r="AD21" s="74">
        <v>3565.6630997047209</v>
      </c>
      <c r="AE21" s="75">
        <v>8761.1173856328987</v>
      </c>
      <c r="AF21" s="75">
        <v>605.64790442789206</v>
      </c>
      <c r="AG21" s="75">
        <v>652.70000000000141</v>
      </c>
      <c r="AH21" s="75">
        <v>10.975720021559235</v>
      </c>
      <c r="AI21" s="75">
        <v>675.00000000000159</v>
      </c>
      <c r="AJ21" s="76">
        <v>0</v>
      </c>
      <c r="AK21" s="75">
        <v>1084.1495824835945</v>
      </c>
      <c r="AL21" s="75">
        <v>969164.80256990006</v>
      </c>
      <c r="AM21" s="75">
        <v>389.70812378000005</v>
      </c>
      <c r="AN21" s="74">
        <v>643.05459791010435</v>
      </c>
      <c r="AO21" s="75">
        <v>910242.22834557202</v>
      </c>
      <c r="AP21" s="76">
        <v>113.779714134</v>
      </c>
      <c r="AQ21" s="75">
        <v>446.69999999999948</v>
      </c>
      <c r="AR21" s="75">
        <v>639541.26349298761</v>
      </c>
      <c r="AS21" s="75">
        <v>41413.333178200002</v>
      </c>
      <c r="AT21" s="77">
        <v>15446.18635010467</v>
      </c>
      <c r="AU21" s="75">
        <v>85417.333333356306</v>
      </c>
      <c r="AV21" s="77">
        <v>168871.81377324535</v>
      </c>
      <c r="AW21" s="78"/>
    </row>
    <row r="22" spans="1:49" ht="14.45" customHeight="1" x14ac:dyDescent="0.25">
      <c r="A22" s="23">
        <f t="shared" si="0"/>
        <v>44681</v>
      </c>
      <c r="B22" s="75">
        <v>6469.6406577427751</v>
      </c>
      <c r="C22" s="75">
        <v>82.400000000000063</v>
      </c>
      <c r="D22" s="75">
        <v>72.989999999999924</v>
      </c>
      <c r="E22" s="75">
        <v>0</v>
      </c>
      <c r="F22" s="74">
        <v>6026.8583084645607</v>
      </c>
      <c r="G22" s="75">
        <v>115.88999999996123</v>
      </c>
      <c r="H22" s="75">
        <v>125.2999999999998</v>
      </c>
      <c r="I22" s="75">
        <v>108.60000000000029</v>
      </c>
      <c r="J22" s="76">
        <v>0</v>
      </c>
      <c r="K22" s="75">
        <v>9284.348118996053</v>
      </c>
      <c r="L22" s="75">
        <v>8.9999999999999911</v>
      </c>
      <c r="M22" s="75">
        <v>10.000000000000014</v>
      </c>
      <c r="N22" s="74">
        <v>7494.248679396318</v>
      </c>
      <c r="O22" s="75">
        <v>79.100000000008336</v>
      </c>
      <c r="P22" s="75">
        <v>78.099999999999994</v>
      </c>
      <c r="Q22" s="75">
        <v>51.879999999999995</v>
      </c>
      <c r="R22" s="76">
        <v>0</v>
      </c>
      <c r="S22" s="75">
        <v>6749.6333542978937</v>
      </c>
      <c r="T22" s="75">
        <v>1243.2885093090244</v>
      </c>
      <c r="U22" s="75">
        <v>0</v>
      </c>
      <c r="V22" s="74">
        <v>7636.7336071522232</v>
      </c>
      <c r="W22" s="75">
        <v>22.900000000000023</v>
      </c>
      <c r="X22" s="76">
        <v>1.7900000000000014</v>
      </c>
      <c r="Y22" s="75">
        <v>6061.6525964238781</v>
      </c>
      <c r="Z22" s="75">
        <v>113.26500000000327</v>
      </c>
      <c r="AA22" s="75">
        <v>152.40000000000006</v>
      </c>
      <c r="AB22" s="79">
        <v>24.340000000000018</v>
      </c>
      <c r="AC22" s="75">
        <v>0</v>
      </c>
      <c r="AD22" s="74">
        <v>3567.9571291994716</v>
      </c>
      <c r="AE22" s="75">
        <v>8942.9776541602478</v>
      </c>
      <c r="AF22" s="75">
        <v>814.07580385915674</v>
      </c>
      <c r="AG22" s="75">
        <v>945.30000000000109</v>
      </c>
      <c r="AH22" s="75">
        <v>17.666718263421906</v>
      </c>
      <c r="AI22" s="75">
        <v>599.99999999999727</v>
      </c>
      <c r="AJ22" s="76">
        <v>0</v>
      </c>
      <c r="AK22" s="75">
        <v>1079.3721530807074</v>
      </c>
      <c r="AL22" s="75">
        <v>1033634.21831722</v>
      </c>
      <c r="AM22" s="75">
        <v>411.67069313799999</v>
      </c>
      <c r="AN22" s="74">
        <v>642.99981670275531</v>
      </c>
      <c r="AO22" s="75">
        <v>1005938.399664821</v>
      </c>
      <c r="AP22" s="76">
        <v>125.64255644800001</v>
      </c>
      <c r="AQ22" s="75">
        <v>448.69999999999948</v>
      </c>
      <c r="AR22" s="75">
        <v>709547.93271928141</v>
      </c>
      <c r="AS22" s="75">
        <v>46703.992316299998</v>
      </c>
      <c r="AT22" s="77">
        <v>21878.144876303399</v>
      </c>
      <c r="AU22" s="75">
        <v>82479.333333396804</v>
      </c>
      <c r="AV22" s="77">
        <v>162617.20136719392</v>
      </c>
      <c r="AW22" s="78"/>
    </row>
    <row r="23" spans="1:49" ht="14.45" customHeight="1" x14ac:dyDescent="0.25">
      <c r="A23" s="23">
        <f t="shared" si="0"/>
        <v>44712</v>
      </c>
      <c r="B23" s="75">
        <v>6484.6395327427754</v>
      </c>
      <c r="C23" s="75">
        <v>168.79999999999978</v>
      </c>
      <c r="D23" s="75">
        <v>91.440000000000254</v>
      </c>
      <c r="E23" s="75">
        <v>0</v>
      </c>
      <c r="F23" s="74">
        <v>6028.9675409776846</v>
      </c>
      <c r="G23" s="75">
        <v>168.84000000006205</v>
      </c>
      <c r="H23" s="75">
        <v>246.19999999999996</v>
      </c>
      <c r="I23" s="75">
        <v>77.949999999999704</v>
      </c>
      <c r="J23" s="76">
        <v>0</v>
      </c>
      <c r="K23" s="75">
        <v>9295.9106702755798</v>
      </c>
      <c r="L23" s="75">
        <v>26.899999999999977</v>
      </c>
      <c r="M23" s="75">
        <v>14.000000000000002</v>
      </c>
      <c r="N23" s="74">
        <v>7487.4818371062911</v>
      </c>
      <c r="O23" s="75">
        <v>185.99999999999986</v>
      </c>
      <c r="P23" s="75">
        <v>198.90000000000018</v>
      </c>
      <c r="Q23" s="75">
        <v>237.84999999999974</v>
      </c>
      <c r="R23" s="76">
        <v>31.905903662675275</v>
      </c>
      <c r="S23" s="75">
        <v>6749.6333542978937</v>
      </c>
      <c r="T23" s="75">
        <v>4640.1165873152331</v>
      </c>
      <c r="U23" s="75">
        <v>149.17609429526658</v>
      </c>
      <c r="V23" s="74">
        <v>7653.2776098753202</v>
      </c>
      <c r="W23" s="75">
        <v>68.900000000000105</v>
      </c>
      <c r="X23" s="76">
        <v>31.040000000000013</v>
      </c>
      <c r="Y23" s="75">
        <v>6070.7628845144291</v>
      </c>
      <c r="Z23" s="75">
        <v>193.4329999999722</v>
      </c>
      <c r="AA23" s="75">
        <v>266.40000000000032</v>
      </c>
      <c r="AB23" s="79">
        <v>30.679999999999978</v>
      </c>
      <c r="AC23" s="75">
        <v>0</v>
      </c>
      <c r="AD23" s="74">
        <v>3582.3768998359546</v>
      </c>
      <c r="AE23" s="75">
        <v>10144.535830198571</v>
      </c>
      <c r="AF23" s="75">
        <v>1919.9656480146875</v>
      </c>
      <c r="AG23" s="75">
        <v>2213.1999999999998</v>
      </c>
      <c r="AH23" s="75">
        <v>22.282815519560579</v>
      </c>
      <c r="AI23" s="75">
        <v>599.99999999999989</v>
      </c>
      <c r="AJ23" s="76">
        <v>0</v>
      </c>
      <c r="AK23" s="75">
        <v>1074.5734120406814</v>
      </c>
      <c r="AL23" s="75">
        <v>994960.4496132565</v>
      </c>
      <c r="AM23" s="75">
        <v>380.31759551100004</v>
      </c>
      <c r="AN23" s="74">
        <v>642.99981670275531</v>
      </c>
      <c r="AO23" s="75">
        <v>962960.13646209647</v>
      </c>
      <c r="AP23" s="76">
        <v>120.60932765300001</v>
      </c>
      <c r="AQ23" s="75">
        <v>448.69999999999948</v>
      </c>
      <c r="AR23" s="75">
        <v>707637.50328545005</v>
      </c>
      <c r="AS23" s="75">
        <v>47053.975707199999</v>
      </c>
      <c r="AT23" s="77">
        <v>28517.387604655043</v>
      </c>
      <c r="AU23" s="75">
        <v>74209.33333340635</v>
      </c>
      <c r="AV23" s="77">
        <v>170957.27294009473</v>
      </c>
      <c r="AW23" s="78"/>
    </row>
    <row r="24" spans="1:49" ht="14.45" customHeight="1" x14ac:dyDescent="0.25">
      <c r="A24" s="23">
        <f t="shared" si="0"/>
        <v>44742</v>
      </c>
      <c r="B24" s="75">
        <v>6499.6446926181034</v>
      </c>
      <c r="C24" s="75">
        <v>278.00000000000006</v>
      </c>
      <c r="D24" s="75">
        <v>173.15999999999983</v>
      </c>
      <c r="E24" s="75">
        <v>69.955467117922623</v>
      </c>
      <c r="F24" s="74">
        <v>6027.8314327755843</v>
      </c>
      <c r="G24" s="75">
        <v>255.05999999976109</v>
      </c>
      <c r="H24" s="75">
        <v>359.89999999999992</v>
      </c>
      <c r="I24" s="75">
        <v>289.59000000000003</v>
      </c>
      <c r="J24" s="76">
        <v>7.2227254361479227</v>
      </c>
      <c r="K24" s="75">
        <v>9311.2515935039264</v>
      </c>
      <c r="L24" s="75">
        <v>42.100000000000023</v>
      </c>
      <c r="M24" s="75">
        <v>19.999999999999975</v>
      </c>
      <c r="N24" s="74">
        <v>7511.9310611548472</v>
      </c>
      <c r="O24" s="75">
        <v>239.60000000005024</v>
      </c>
      <c r="P24" s="75">
        <v>261.69999999999982</v>
      </c>
      <c r="Q24" s="75">
        <v>37.43</v>
      </c>
      <c r="R24" s="76">
        <v>0</v>
      </c>
      <c r="S24" s="75">
        <v>6749.6333542978937</v>
      </c>
      <c r="T24" s="75">
        <v>1461.3063882858503</v>
      </c>
      <c r="U24" s="75">
        <v>0</v>
      </c>
      <c r="V24" s="74">
        <v>7662.7531407152155</v>
      </c>
      <c r="W24" s="75">
        <v>67.699999999999875</v>
      </c>
      <c r="X24" s="76">
        <v>42.739999999999988</v>
      </c>
      <c r="Y24" s="75">
        <v>6075.8485213582608</v>
      </c>
      <c r="Z24" s="75">
        <v>160.50699999989496</v>
      </c>
      <c r="AA24" s="75">
        <v>212.39999999999981</v>
      </c>
      <c r="AB24" s="79">
        <v>29.690000000000005</v>
      </c>
      <c r="AC24" s="75">
        <v>0</v>
      </c>
      <c r="AD24" s="74">
        <v>3597.99778106955</v>
      </c>
      <c r="AE24" s="75">
        <v>11560.058767991917</v>
      </c>
      <c r="AF24" s="75">
        <v>2197.7317685675621</v>
      </c>
      <c r="AG24" s="75">
        <v>2594.4999999999982</v>
      </c>
      <c r="AH24" s="75">
        <v>38.96699282566312</v>
      </c>
      <c r="AI24" s="75">
        <v>629.99999999999932</v>
      </c>
      <c r="AJ24" s="76">
        <v>0</v>
      </c>
      <c r="AK24" s="75">
        <v>1070.2383165026235</v>
      </c>
      <c r="AL24" s="75">
        <v>949027.79273798049</v>
      </c>
      <c r="AM24" s="75">
        <v>361.08407427600002</v>
      </c>
      <c r="AN24" s="74">
        <v>642.99981670275531</v>
      </c>
      <c r="AO24" s="75">
        <v>908817.87775199418</v>
      </c>
      <c r="AP24" s="76">
        <v>113.939736377</v>
      </c>
      <c r="AQ24" s="75">
        <v>448.69999999999948</v>
      </c>
      <c r="AR24" s="75">
        <v>720233.92434773955</v>
      </c>
      <c r="AS24" s="75">
        <v>47962.589322799999</v>
      </c>
      <c r="AT24" s="77">
        <v>28613.124799614307</v>
      </c>
      <c r="AU24" s="75">
        <v>71633.333333232411</v>
      </c>
      <c r="AV24" s="77">
        <v>99028.788997884258</v>
      </c>
      <c r="AW24" s="78"/>
    </row>
    <row r="25" spans="1:49" ht="14.45" customHeight="1" x14ac:dyDescent="0.25">
      <c r="A25" s="23">
        <f t="shared" si="0"/>
        <v>44773</v>
      </c>
      <c r="B25" s="75">
        <v>6501.7894129593105</v>
      </c>
      <c r="C25" s="75">
        <v>163.49999999999977</v>
      </c>
      <c r="D25" s="75">
        <v>144.50000000000014</v>
      </c>
      <c r="E25" s="75">
        <v>41.773021617583815</v>
      </c>
      <c r="F25" s="74">
        <v>6029.8808393044555</v>
      </c>
      <c r="G25" s="75">
        <v>165.39999999994242</v>
      </c>
      <c r="H25" s="75">
        <v>184.40000000000006</v>
      </c>
      <c r="I25" s="75">
        <v>70.409999999999798</v>
      </c>
      <c r="J25" s="76">
        <v>0</v>
      </c>
      <c r="K25" s="75">
        <v>9306.2540010498578</v>
      </c>
      <c r="L25" s="75">
        <v>15.700000000000024</v>
      </c>
      <c r="M25" s="75">
        <v>23.499999999999993</v>
      </c>
      <c r="N25" s="74">
        <v>7514.6438043307007</v>
      </c>
      <c r="O25" s="75">
        <v>106.00000000009098</v>
      </c>
      <c r="P25" s="75">
        <v>98.2</v>
      </c>
      <c r="Q25" s="75">
        <v>80.420000000000258</v>
      </c>
      <c r="R25" s="76">
        <v>0</v>
      </c>
      <c r="S25" s="75">
        <v>6749.6333542978937</v>
      </c>
      <c r="T25" s="75">
        <v>1503.2993007818322</v>
      </c>
      <c r="U25" s="75">
        <v>0</v>
      </c>
      <c r="V25" s="74">
        <v>7655.857333103666</v>
      </c>
      <c r="W25" s="75">
        <v>24.200000000000014</v>
      </c>
      <c r="X25" s="76">
        <v>41.54</v>
      </c>
      <c r="Y25" s="75">
        <v>6073.7835011482875</v>
      </c>
      <c r="Z25" s="75">
        <v>63.569999999917577</v>
      </c>
      <c r="AA25" s="75">
        <v>48.300000000000011</v>
      </c>
      <c r="AB25" s="79">
        <v>30.679999999999978</v>
      </c>
      <c r="AC25" s="75">
        <v>0</v>
      </c>
      <c r="AD25" s="74">
        <v>3598.4723893044579</v>
      </c>
      <c r="AE25" s="75">
        <v>11604.925795065485</v>
      </c>
      <c r="AF25" s="75">
        <v>807.94427105668217</v>
      </c>
      <c r="AG25" s="75">
        <v>897.80000000000064</v>
      </c>
      <c r="AH25" s="75">
        <v>49.487882941809666</v>
      </c>
      <c r="AI25" s="75">
        <v>710.00000000000011</v>
      </c>
      <c r="AJ25" s="76">
        <v>0</v>
      </c>
      <c r="AK25" s="75">
        <v>1068.604686906167</v>
      </c>
      <c r="AL25" s="75">
        <v>828319.26579339826</v>
      </c>
      <c r="AM25" s="75">
        <v>314.110481601</v>
      </c>
      <c r="AN25" s="74">
        <v>641.99704448162663</v>
      </c>
      <c r="AO25" s="75">
        <v>818445.27165756468</v>
      </c>
      <c r="AP25" s="76">
        <v>102.754325971</v>
      </c>
      <c r="AQ25" s="75">
        <v>447.99999999999949</v>
      </c>
      <c r="AR25" s="75">
        <v>694891.83763817034</v>
      </c>
      <c r="AS25" s="75">
        <v>46002.6186418</v>
      </c>
      <c r="AT25" s="77">
        <v>29117.282138766666</v>
      </c>
      <c r="AU25" s="75">
        <v>74202.333333231058</v>
      </c>
      <c r="AV25" s="77">
        <v>51076.466370075497</v>
      </c>
      <c r="AW25" s="78"/>
    </row>
    <row r="26" spans="1:49" ht="14.45" customHeight="1" x14ac:dyDescent="0.25">
      <c r="A26" s="23">
        <f t="shared" si="0"/>
        <v>44804</v>
      </c>
      <c r="B26" s="75">
        <v>6502.181357086607</v>
      </c>
      <c r="C26" s="75">
        <v>70.700000000000273</v>
      </c>
      <c r="D26" s="75">
        <v>65.450000000000216</v>
      </c>
      <c r="E26" s="75">
        <v>0</v>
      </c>
      <c r="F26" s="74">
        <v>6029.313926607605</v>
      </c>
      <c r="G26" s="75">
        <v>75.149999999907479</v>
      </c>
      <c r="H26" s="75">
        <v>80.399999999999878</v>
      </c>
      <c r="I26" s="75">
        <v>85.089999999999975</v>
      </c>
      <c r="J26" s="76">
        <v>0</v>
      </c>
      <c r="K26" s="75">
        <v>9299.2218077099642</v>
      </c>
      <c r="L26" s="75">
        <v>9.0000000000000213</v>
      </c>
      <c r="M26" s="75">
        <v>18.999999999999979</v>
      </c>
      <c r="N26" s="74">
        <v>7512.8123853346378</v>
      </c>
      <c r="O26" s="75">
        <v>69.299999999899086</v>
      </c>
      <c r="P26" s="75">
        <v>59.300000000000011</v>
      </c>
      <c r="Q26" s="75">
        <v>84.370000000000275</v>
      </c>
      <c r="R26" s="76">
        <v>0</v>
      </c>
      <c r="S26" s="75">
        <v>6749.6333542978937</v>
      </c>
      <c r="T26" s="75">
        <v>1517.8440485298518</v>
      </c>
      <c r="U26" s="75">
        <v>0</v>
      </c>
      <c r="V26" s="74">
        <v>7647.2110995734829</v>
      </c>
      <c r="W26" s="75">
        <v>17.199999999999985</v>
      </c>
      <c r="X26" s="76">
        <v>37.810000000000016</v>
      </c>
      <c r="Y26" s="75">
        <v>6071.4010920603614</v>
      </c>
      <c r="Z26" s="75">
        <v>49.456000000097966</v>
      </c>
      <c r="AA26" s="75">
        <v>29.700000000000024</v>
      </c>
      <c r="AB26" s="79">
        <v>30.679999999999978</v>
      </c>
      <c r="AC26" s="75">
        <v>0</v>
      </c>
      <c r="AD26" s="74">
        <v>3595.6728475065579</v>
      </c>
      <c r="AE26" s="75">
        <v>11341.87947446046</v>
      </c>
      <c r="AF26" s="75">
        <v>525.03959273562373</v>
      </c>
      <c r="AG26" s="75">
        <v>445.10000000000014</v>
      </c>
      <c r="AH26" s="75">
        <v>49.129612262787226</v>
      </c>
      <c r="AI26" s="75">
        <v>760.00000000000284</v>
      </c>
      <c r="AJ26" s="76">
        <v>0</v>
      </c>
      <c r="AK26" s="75">
        <v>1068.2094122112849</v>
      </c>
      <c r="AL26" s="75">
        <v>787050.02662858146</v>
      </c>
      <c r="AM26" s="75">
        <v>296.491714763</v>
      </c>
      <c r="AN26" s="74">
        <v>641.99704448162663</v>
      </c>
      <c r="AO26" s="75">
        <v>752179.7024268856</v>
      </c>
      <c r="AP26" s="76">
        <v>94.366831586200007</v>
      </c>
      <c r="AQ26" s="75">
        <v>447.50000000328043</v>
      </c>
      <c r="AR26" s="75">
        <v>625367.01914195821</v>
      </c>
      <c r="AS26" s="75">
        <v>40990.725495500003</v>
      </c>
      <c r="AT26" s="77">
        <v>29606.507988667963</v>
      </c>
      <c r="AU26" s="75">
        <v>74202.333333231058</v>
      </c>
      <c r="AV26" s="77">
        <v>51076.466370075497</v>
      </c>
      <c r="AW26" s="78"/>
    </row>
    <row r="27" spans="1:49" x14ac:dyDescent="0.25">
      <c r="A27" s="23">
        <f t="shared" si="0"/>
        <v>44834</v>
      </c>
      <c r="B27" s="75">
        <v>6499.9048986220405</v>
      </c>
      <c r="C27" s="75">
        <v>43.90000000000002</v>
      </c>
      <c r="D27" s="75">
        <v>59.500000000000021</v>
      </c>
      <c r="E27" s="75">
        <v>0</v>
      </c>
      <c r="F27" s="74">
        <v>6028.3143979658735</v>
      </c>
      <c r="G27" s="75">
        <v>65.700000000016743</v>
      </c>
      <c r="H27" s="75">
        <v>50.099999999999987</v>
      </c>
      <c r="I27" s="75">
        <v>94.20999999999998</v>
      </c>
      <c r="J27" s="76">
        <v>0</v>
      </c>
      <c r="K27" s="75">
        <v>9290.9725608267618</v>
      </c>
      <c r="L27" s="75">
        <v>7.3000000000000194</v>
      </c>
      <c r="M27" s="75">
        <v>17.499999999999968</v>
      </c>
      <c r="N27" s="74">
        <v>7508.7192871719089</v>
      </c>
      <c r="O27" s="75">
        <v>47.699999999974743</v>
      </c>
      <c r="P27" s="75">
        <v>37.5</v>
      </c>
      <c r="Q27" s="75">
        <v>82.380000000000095</v>
      </c>
      <c r="R27" s="76">
        <v>0</v>
      </c>
      <c r="S27" s="75">
        <v>6749.6333542978937</v>
      </c>
      <c r="T27" s="75">
        <v>1518.4917261248977</v>
      </c>
      <c r="U27" s="75">
        <v>42.387159427173422</v>
      </c>
      <c r="V27" s="74">
        <v>7642.1689282152147</v>
      </c>
      <c r="W27" s="75">
        <v>17.79999999999999</v>
      </c>
      <c r="X27" s="76">
        <v>28.880000000000003</v>
      </c>
      <c r="Y27" s="75">
        <v>6062.8630965879202</v>
      </c>
      <c r="Z27" s="75">
        <v>50.58399999995995</v>
      </c>
      <c r="AA27" s="75">
        <v>41.000000000000028</v>
      </c>
      <c r="AB27" s="79">
        <v>136.79999999999984</v>
      </c>
      <c r="AC27" s="75">
        <v>0</v>
      </c>
      <c r="AD27" s="74">
        <v>3595.5556118438285</v>
      </c>
      <c r="AE27" s="75">
        <v>11330.938808218603</v>
      </c>
      <c r="AF27" s="75">
        <v>598.23253246279228</v>
      </c>
      <c r="AG27" s="75">
        <v>385.8</v>
      </c>
      <c r="AH27" s="75">
        <v>45.048455363137251</v>
      </c>
      <c r="AI27" s="75">
        <v>565.00000000000011</v>
      </c>
      <c r="AJ27" s="76">
        <v>0</v>
      </c>
      <c r="AK27" s="75">
        <v>1066.3479676870068</v>
      </c>
      <c r="AL27" s="75">
        <v>714600.09082540346</v>
      </c>
      <c r="AM27" s="75">
        <v>267.12928455500003</v>
      </c>
      <c r="AN27" s="74">
        <v>640.00753110564244</v>
      </c>
      <c r="AO27" s="75">
        <v>735612.88114420162</v>
      </c>
      <c r="AP27" s="76">
        <v>91.5989776957</v>
      </c>
      <c r="AQ27" s="75">
        <v>447.49999999999949</v>
      </c>
      <c r="AR27" s="75">
        <v>531459.88653639692</v>
      </c>
      <c r="AS27" s="75">
        <v>34585.369957700001</v>
      </c>
      <c r="AT27" s="77">
        <v>25558.317786996555</v>
      </c>
      <c r="AU27" s="75">
        <v>56163.333333281174</v>
      </c>
      <c r="AV27" s="77">
        <v>139684.21091034191</v>
      </c>
      <c r="AW27" s="78"/>
    </row>
    <row r="28" spans="1:49" x14ac:dyDescent="0.25">
      <c r="A28" s="23">
        <f t="shared" si="0"/>
        <v>44865</v>
      </c>
      <c r="B28" s="11"/>
      <c r="C28" s="11"/>
      <c r="D28" s="11"/>
      <c r="E28" s="11"/>
      <c r="F28" s="10"/>
      <c r="G28" s="11"/>
      <c r="H28" s="11"/>
      <c r="I28" s="11"/>
      <c r="J28" s="12"/>
      <c r="K28" s="11"/>
      <c r="L28" s="11"/>
      <c r="M28" s="11"/>
      <c r="N28" s="10"/>
      <c r="O28" s="11"/>
      <c r="P28" s="11"/>
      <c r="Q28" s="11"/>
      <c r="R28" s="12"/>
      <c r="S28" s="11"/>
      <c r="T28" s="11"/>
      <c r="U28" s="11"/>
      <c r="V28" s="10"/>
      <c r="W28" s="11"/>
      <c r="X28" s="12"/>
      <c r="Y28" s="11"/>
      <c r="Z28" s="11"/>
      <c r="AA28" s="11"/>
      <c r="AB28" s="41"/>
      <c r="AC28" s="11"/>
      <c r="AD28" s="10"/>
      <c r="AE28" s="11"/>
      <c r="AF28" s="11"/>
      <c r="AG28" s="11"/>
      <c r="AH28" s="11"/>
      <c r="AI28" s="11"/>
      <c r="AJ28" s="12"/>
      <c r="AK28" s="11"/>
      <c r="AL28" s="11"/>
      <c r="AM28" s="11"/>
      <c r="AN28" s="10"/>
      <c r="AO28" s="11"/>
      <c r="AP28" s="12"/>
      <c r="AQ28" s="11"/>
      <c r="AR28" s="11"/>
      <c r="AS28" s="11"/>
      <c r="AT28" s="13"/>
      <c r="AU28" s="11"/>
      <c r="AV28" s="13"/>
      <c r="AW28" s="78"/>
    </row>
    <row r="29" spans="1:49" x14ac:dyDescent="0.25">
      <c r="A29" s="23">
        <f t="shared" si="0"/>
        <v>44895</v>
      </c>
      <c r="B29" s="11"/>
      <c r="C29" s="11"/>
      <c r="D29" s="11"/>
      <c r="E29" s="11"/>
      <c r="F29" s="10"/>
      <c r="G29" s="11"/>
      <c r="H29" s="11"/>
      <c r="I29" s="11"/>
      <c r="J29" s="12"/>
      <c r="K29" s="11"/>
      <c r="L29" s="11"/>
      <c r="M29" s="11"/>
      <c r="N29" s="10"/>
      <c r="O29" s="11"/>
      <c r="P29" s="11"/>
      <c r="Q29" s="11"/>
      <c r="R29" s="12"/>
      <c r="S29" s="11"/>
      <c r="T29" s="11"/>
      <c r="U29" s="11"/>
      <c r="V29" s="10"/>
      <c r="W29" s="11"/>
      <c r="X29" s="12"/>
      <c r="Y29" s="11"/>
      <c r="Z29" s="11"/>
      <c r="AA29" s="11"/>
      <c r="AB29" s="41"/>
      <c r="AC29" s="11"/>
      <c r="AD29" s="10"/>
      <c r="AE29" s="11"/>
      <c r="AF29" s="11"/>
      <c r="AG29" s="11"/>
      <c r="AH29" s="11"/>
      <c r="AI29" s="11"/>
      <c r="AJ29" s="12"/>
      <c r="AK29" s="11"/>
      <c r="AL29" s="11"/>
      <c r="AM29" s="11"/>
      <c r="AN29" s="10"/>
      <c r="AO29" s="11"/>
      <c r="AP29" s="12"/>
      <c r="AQ29" s="11"/>
      <c r="AR29" s="11"/>
      <c r="AS29" s="11"/>
      <c r="AT29" s="13"/>
      <c r="AU29" s="11"/>
      <c r="AV29" s="13"/>
      <c r="AW29" s="78"/>
    </row>
    <row r="30" spans="1:49" x14ac:dyDescent="0.25">
      <c r="A30" s="23">
        <f t="shared" si="0"/>
        <v>44926</v>
      </c>
      <c r="B30" s="11"/>
      <c r="C30" s="11"/>
      <c r="D30" s="11"/>
      <c r="E30" s="11"/>
      <c r="F30" s="10"/>
      <c r="G30" s="11"/>
      <c r="H30" s="11"/>
      <c r="I30" s="11"/>
      <c r="J30" s="12"/>
      <c r="K30" s="11"/>
      <c r="L30" s="11"/>
      <c r="M30" s="11"/>
      <c r="N30" s="10"/>
      <c r="O30" s="11"/>
      <c r="P30" s="11"/>
      <c r="Q30" s="11"/>
      <c r="R30" s="12"/>
      <c r="S30" s="11"/>
      <c r="T30" s="11"/>
      <c r="U30" s="11"/>
      <c r="V30" s="10"/>
      <c r="W30" s="11"/>
      <c r="X30" s="12"/>
      <c r="Y30" s="11"/>
      <c r="Z30" s="11"/>
      <c r="AA30" s="11"/>
      <c r="AB30" s="41"/>
      <c r="AC30" s="11"/>
      <c r="AD30" s="10"/>
      <c r="AE30" s="11"/>
      <c r="AF30" s="11"/>
      <c r="AG30" s="11"/>
      <c r="AH30" s="11"/>
      <c r="AI30" s="11"/>
      <c r="AJ30" s="12"/>
      <c r="AK30" s="11"/>
      <c r="AL30" s="11"/>
      <c r="AM30" s="11"/>
      <c r="AN30" s="10"/>
      <c r="AO30" s="11"/>
      <c r="AP30" s="12"/>
      <c r="AQ30" s="11"/>
      <c r="AR30" s="11"/>
      <c r="AS30" s="11"/>
      <c r="AT30" s="13"/>
      <c r="AU30" s="11"/>
      <c r="AV30" s="13"/>
      <c r="AW30" s="78"/>
    </row>
    <row r="31" spans="1:49" x14ac:dyDescent="0.25">
      <c r="A31" s="23">
        <f t="shared" si="0"/>
        <v>44957</v>
      </c>
      <c r="B31" s="11"/>
      <c r="C31" s="11"/>
      <c r="D31" s="11"/>
      <c r="E31" s="11"/>
      <c r="F31" s="10"/>
      <c r="G31" s="11"/>
      <c r="H31" s="11"/>
      <c r="I31" s="11"/>
      <c r="J31" s="12"/>
      <c r="K31" s="11"/>
      <c r="L31" s="11"/>
      <c r="M31" s="11"/>
      <c r="N31" s="10"/>
      <c r="O31" s="11"/>
      <c r="P31" s="11"/>
      <c r="Q31" s="11"/>
      <c r="R31" s="12"/>
      <c r="S31" s="11"/>
      <c r="T31" s="11"/>
      <c r="U31" s="11"/>
      <c r="V31" s="10"/>
      <c r="W31" s="11"/>
      <c r="X31" s="12"/>
      <c r="Y31" s="11"/>
      <c r="Z31" s="11"/>
      <c r="AA31" s="11"/>
      <c r="AB31" s="41"/>
      <c r="AC31" s="11"/>
      <c r="AD31" s="10"/>
      <c r="AE31" s="11"/>
      <c r="AF31" s="11"/>
      <c r="AG31" s="11"/>
      <c r="AH31" s="11"/>
      <c r="AI31" s="11"/>
      <c r="AJ31" s="12"/>
      <c r="AK31" s="11"/>
      <c r="AL31" s="11"/>
      <c r="AM31" s="11"/>
      <c r="AN31" s="10"/>
      <c r="AO31" s="11"/>
      <c r="AP31" s="12"/>
      <c r="AQ31" s="11"/>
      <c r="AR31" s="11"/>
      <c r="AS31" s="11"/>
      <c r="AT31" s="13"/>
      <c r="AU31" s="11"/>
      <c r="AV31" s="13"/>
      <c r="AW31" s="78"/>
    </row>
    <row r="32" spans="1:49" x14ac:dyDescent="0.25">
      <c r="A32" s="23">
        <f t="shared" si="0"/>
        <v>44985</v>
      </c>
      <c r="B32" s="11"/>
      <c r="C32" s="11"/>
      <c r="D32" s="11"/>
      <c r="E32" s="11"/>
      <c r="F32" s="10"/>
      <c r="G32" s="11"/>
      <c r="H32" s="11"/>
      <c r="I32" s="11"/>
      <c r="J32" s="12"/>
      <c r="K32" s="11"/>
      <c r="L32" s="11"/>
      <c r="M32" s="11"/>
      <c r="N32" s="10"/>
      <c r="O32" s="11"/>
      <c r="P32" s="11"/>
      <c r="Q32" s="11"/>
      <c r="R32" s="12"/>
      <c r="S32" s="11"/>
      <c r="T32" s="11"/>
      <c r="U32" s="11"/>
      <c r="V32" s="10"/>
      <c r="W32" s="11"/>
      <c r="X32" s="12"/>
      <c r="Y32" s="11"/>
      <c r="Z32" s="11"/>
      <c r="AA32" s="11"/>
      <c r="AB32" s="41"/>
      <c r="AC32" s="11"/>
      <c r="AD32" s="10"/>
      <c r="AE32" s="11"/>
      <c r="AF32" s="11"/>
      <c r="AG32" s="11"/>
      <c r="AH32" s="11"/>
      <c r="AI32" s="11"/>
      <c r="AJ32" s="12"/>
      <c r="AK32" s="11"/>
      <c r="AL32" s="11"/>
      <c r="AM32" s="11"/>
      <c r="AN32" s="10"/>
      <c r="AO32" s="11"/>
      <c r="AP32" s="12"/>
      <c r="AQ32" s="11"/>
      <c r="AR32" s="11"/>
      <c r="AS32" s="11"/>
      <c r="AT32" s="13"/>
      <c r="AU32" s="11"/>
      <c r="AV32" s="13"/>
      <c r="AW32" s="78"/>
    </row>
    <row r="33" spans="1:49" x14ac:dyDescent="0.25">
      <c r="A33" s="23">
        <f t="shared" si="0"/>
        <v>45016</v>
      </c>
      <c r="B33" s="11"/>
      <c r="C33" s="11"/>
      <c r="D33" s="11"/>
      <c r="E33" s="11"/>
      <c r="F33" s="10"/>
      <c r="G33" s="11"/>
      <c r="H33" s="11"/>
      <c r="I33" s="11"/>
      <c r="J33" s="12"/>
      <c r="K33" s="11"/>
      <c r="L33" s="11"/>
      <c r="M33" s="11"/>
      <c r="N33" s="10"/>
      <c r="O33" s="11"/>
      <c r="P33" s="11"/>
      <c r="Q33" s="11"/>
      <c r="R33" s="12"/>
      <c r="S33" s="11"/>
      <c r="T33" s="11"/>
      <c r="U33" s="11"/>
      <c r="V33" s="10"/>
      <c r="W33" s="11"/>
      <c r="X33" s="12"/>
      <c r="Y33" s="11"/>
      <c r="Z33" s="11"/>
      <c r="AA33" s="11"/>
      <c r="AB33" s="41"/>
      <c r="AC33" s="11"/>
      <c r="AD33" s="10"/>
      <c r="AE33" s="11"/>
      <c r="AF33" s="11"/>
      <c r="AG33" s="11"/>
      <c r="AH33" s="11"/>
      <c r="AI33" s="11"/>
      <c r="AJ33" s="12"/>
      <c r="AK33" s="11"/>
      <c r="AL33" s="11"/>
      <c r="AM33" s="11"/>
      <c r="AN33" s="10"/>
      <c r="AO33" s="11"/>
      <c r="AP33" s="12"/>
      <c r="AQ33" s="11"/>
      <c r="AR33" s="11"/>
      <c r="AS33" s="11"/>
      <c r="AT33" s="13"/>
      <c r="AU33" s="11"/>
      <c r="AV33" s="13"/>
      <c r="AW33" s="78"/>
    </row>
    <row r="34" spans="1:49" x14ac:dyDescent="0.25">
      <c r="A34" s="23">
        <f t="shared" si="0"/>
        <v>45046</v>
      </c>
      <c r="B34" s="11"/>
      <c r="C34" s="11"/>
      <c r="D34" s="11"/>
      <c r="E34" s="11"/>
      <c r="F34" s="10"/>
      <c r="G34" s="11"/>
      <c r="H34" s="11"/>
      <c r="I34" s="11"/>
      <c r="J34" s="12"/>
      <c r="K34" s="11"/>
      <c r="L34" s="11"/>
      <c r="M34" s="11"/>
      <c r="N34" s="10"/>
      <c r="O34" s="11"/>
      <c r="P34" s="11"/>
      <c r="Q34" s="11"/>
      <c r="R34" s="12"/>
      <c r="S34" s="11"/>
      <c r="T34" s="11"/>
      <c r="U34" s="11"/>
      <c r="V34" s="10"/>
      <c r="W34" s="11"/>
      <c r="X34" s="12"/>
      <c r="Y34" s="11"/>
      <c r="Z34" s="11"/>
      <c r="AA34" s="11"/>
      <c r="AB34" s="41"/>
      <c r="AC34" s="11"/>
      <c r="AD34" s="10"/>
      <c r="AE34" s="11"/>
      <c r="AF34" s="11"/>
      <c r="AG34" s="11"/>
      <c r="AH34" s="11"/>
      <c r="AI34" s="11"/>
      <c r="AJ34" s="12"/>
      <c r="AK34" s="11"/>
      <c r="AL34" s="11"/>
      <c r="AM34" s="11"/>
      <c r="AN34" s="10"/>
      <c r="AO34" s="11"/>
      <c r="AP34" s="12"/>
      <c r="AQ34" s="11"/>
      <c r="AR34" s="11"/>
      <c r="AS34" s="11"/>
      <c r="AT34" s="13"/>
      <c r="AU34" s="11"/>
      <c r="AV34" s="13"/>
      <c r="AW34" s="78"/>
    </row>
    <row r="35" spans="1:49" x14ac:dyDescent="0.25">
      <c r="A35" s="24">
        <f t="shared" si="0"/>
        <v>45077</v>
      </c>
      <c r="B35" s="15"/>
      <c r="C35" s="15"/>
      <c r="D35" s="15"/>
      <c r="E35" s="15"/>
      <c r="F35" s="14"/>
      <c r="G35" s="15"/>
      <c r="H35" s="15"/>
      <c r="I35" s="15"/>
      <c r="J35" s="16"/>
      <c r="K35" s="15"/>
      <c r="L35" s="15"/>
      <c r="M35" s="15"/>
      <c r="N35" s="14"/>
      <c r="O35" s="15"/>
      <c r="P35" s="15"/>
      <c r="Q35" s="15"/>
      <c r="R35" s="16"/>
      <c r="S35" s="15"/>
      <c r="T35" s="15"/>
      <c r="U35" s="15"/>
      <c r="V35" s="14"/>
      <c r="W35" s="15"/>
      <c r="X35" s="16"/>
      <c r="Y35" s="15"/>
      <c r="Z35" s="15"/>
      <c r="AA35" s="15"/>
      <c r="AB35" s="42"/>
      <c r="AC35" s="15"/>
      <c r="AD35" s="14"/>
      <c r="AE35" s="15"/>
      <c r="AF35" s="15"/>
      <c r="AG35" s="15"/>
      <c r="AH35" s="15"/>
      <c r="AI35" s="15"/>
      <c r="AJ35" s="16"/>
      <c r="AK35" s="15"/>
      <c r="AL35" s="15"/>
      <c r="AM35" s="15"/>
      <c r="AN35" s="14"/>
      <c r="AO35" s="15"/>
      <c r="AP35" s="16"/>
      <c r="AQ35" s="15"/>
      <c r="AR35" s="15"/>
      <c r="AS35" s="15"/>
      <c r="AT35" s="17"/>
      <c r="AU35" s="15"/>
      <c r="AV35" s="17"/>
      <c r="AW35" s="78"/>
    </row>
    <row r="39" spans="1:49" x14ac:dyDescent="0.25">
      <c r="N39">
        <f>DAY(A4)</f>
        <v>31</v>
      </c>
      <c r="P39">
        <v>30</v>
      </c>
      <c r="Q39" s="65">
        <f>T4*1.9835*DAY(A4)/1000</f>
        <v>74.705213590901138</v>
      </c>
    </row>
    <row r="40" spans="1:49" x14ac:dyDescent="0.25">
      <c r="P40">
        <v>31</v>
      </c>
      <c r="Q40" s="65">
        <f t="shared" ref="Q40:Q63" si="1">T5*1.9835*DAY(A5)/1000</f>
        <v>19.938632424822696</v>
      </c>
    </row>
    <row r="41" spans="1:49" x14ac:dyDescent="0.25">
      <c r="Q41" s="65">
        <f t="shared" si="1"/>
        <v>20.29602458333472</v>
      </c>
    </row>
    <row r="42" spans="1:49" x14ac:dyDescent="0.25">
      <c r="Q42" s="65">
        <f t="shared" si="1"/>
        <v>20.29602458333472</v>
      </c>
    </row>
    <row r="43" spans="1:49" x14ac:dyDescent="0.25">
      <c r="Q43" s="65">
        <f t="shared" si="1"/>
        <v>18.330719532618012</v>
      </c>
    </row>
    <row r="44" spans="1:49" x14ac:dyDescent="0.25">
      <c r="Q44" s="65">
        <f t="shared" si="1"/>
        <v>25.051269752686142</v>
      </c>
    </row>
    <row r="45" spans="1:49" x14ac:dyDescent="0.25">
      <c r="Q45" s="65">
        <f t="shared" si="1"/>
        <v>58.511657142315578</v>
      </c>
    </row>
    <row r="46" spans="1:49" x14ac:dyDescent="0.25">
      <c r="Q46" s="65">
        <f t="shared" si="1"/>
        <v>78.610794404921393</v>
      </c>
    </row>
    <row r="47" spans="1:49" x14ac:dyDescent="0.25">
      <c r="Q47" s="65">
        <f t="shared" si="1"/>
        <v>201.24670336406916</v>
      </c>
    </row>
    <row r="48" spans="1:49" x14ac:dyDescent="0.25">
      <c r="Q48" s="65">
        <f t="shared" si="1"/>
        <v>86.085526452053699</v>
      </c>
    </row>
    <row r="49" spans="17:17" x14ac:dyDescent="0.25">
      <c r="Q49" s="65">
        <f t="shared" si="1"/>
        <v>86.07984804897319</v>
      </c>
    </row>
    <row r="50" spans="17:17" x14ac:dyDescent="0.25">
      <c r="Q50" s="65">
        <f t="shared" si="1"/>
        <v>80.327703892137933</v>
      </c>
    </row>
    <row r="51" spans="17:17" x14ac:dyDescent="0.25">
      <c r="Q51" s="65">
        <f t="shared" si="1"/>
        <v>77.372535257185831</v>
      </c>
    </row>
    <row r="52" spans="17:17" x14ac:dyDescent="0.25">
      <c r="Q52" s="65">
        <f t="shared" si="1"/>
        <v>21.22865123740171</v>
      </c>
    </row>
    <row r="53" spans="17:17" x14ac:dyDescent="0.25">
      <c r="Q53" s="65">
        <f t="shared" si="1"/>
        <v>38.296287083417383</v>
      </c>
    </row>
    <row r="54" spans="17:17" x14ac:dyDescent="0.25">
      <c r="Q54" s="65">
        <f t="shared" si="1"/>
        <v>37.996282708350137</v>
      </c>
    </row>
    <row r="55" spans="17:17" x14ac:dyDescent="0.25">
      <c r="Q55" s="65">
        <f t="shared" si="1"/>
        <v>34.220951261796451</v>
      </c>
    </row>
    <row r="56" spans="17:17" x14ac:dyDescent="0.25">
      <c r="Q56" s="65">
        <f t="shared" si="1"/>
        <v>42.451523502677745</v>
      </c>
    </row>
    <row r="57" spans="17:17" x14ac:dyDescent="0.25">
      <c r="Q57" s="65">
        <f t="shared" si="1"/>
        <v>73.981882746433499</v>
      </c>
    </row>
    <row r="58" spans="17:17" x14ac:dyDescent="0.25">
      <c r="Q58" s="65">
        <f t="shared" si="1"/>
        <v>285.31380877913273</v>
      </c>
    </row>
    <row r="59" spans="17:17" x14ac:dyDescent="0.25">
      <c r="Q59" s="65">
        <f t="shared" si="1"/>
        <v>86.955036634949536</v>
      </c>
    </row>
    <row r="60" spans="17:17" x14ac:dyDescent="0.25">
      <c r="Q60" s="65">
        <f>T25*1.9835*DAY(A25)/1000</f>
        <v>92.435619056123684</v>
      </c>
    </row>
    <row r="61" spans="17:17" x14ac:dyDescent="0.25">
      <c r="Q61" s="65">
        <f t="shared" si="1"/>
        <v>93.329953778027786</v>
      </c>
    </row>
    <row r="62" spans="17:17" x14ac:dyDescent="0.25">
      <c r="Q62" s="65">
        <f t="shared" si="1"/>
        <v>90.357850163062039</v>
      </c>
    </row>
    <row r="63" spans="17:17" x14ac:dyDescent="0.25">
      <c r="Q63" s="65">
        <f t="shared" si="1"/>
        <v>0</v>
      </c>
    </row>
    <row r="64" spans="17:17" x14ac:dyDescent="0.25">
      <c r="Q64" s="65"/>
    </row>
    <row r="65" spans="17:17" x14ac:dyDescent="0.25">
      <c r="Q65" s="65"/>
    </row>
    <row r="66" spans="17:17" x14ac:dyDescent="0.25">
      <c r="Q66" s="65"/>
    </row>
    <row r="67" spans="17:17" x14ac:dyDescent="0.25">
      <c r="Q67" s="65"/>
    </row>
    <row r="68" spans="17:17" x14ac:dyDescent="0.25">
      <c r="Q68" s="65"/>
    </row>
    <row r="69" spans="17:17" x14ac:dyDescent="0.25">
      <c r="Q69" s="65"/>
    </row>
  </sheetData>
  <mergeCells count="13">
    <mergeCell ref="B1:Y1"/>
    <mergeCell ref="AB1:AV1"/>
    <mergeCell ref="V2:X2"/>
    <mergeCell ref="B2:E2"/>
    <mergeCell ref="F2:J2"/>
    <mergeCell ref="K2:M2"/>
    <mergeCell ref="N2:R2"/>
    <mergeCell ref="S2:U2"/>
    <mergeCell ref="Y2:AC2"/>
    <mergeCell ref="AD2:AJ2"/>
    <mergeCell ref="AK2:AM2"/>
    <mergeCell ref="AN2:AP2"/>
    <mergeCell ref="AQ2:AS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/>
  </sheetPr>
  <dimension ref="A1:AV35"/>
  <sheetViews>
    <sheetView zoomScale="90" zoomScaleNormal="90" workbookViewId="0">
      <pane xSplit="1" ySplit="3" topLeftCell="W4" activePane="bottomRight" state="frozen"/>
      <selection pane="topRight" activeCell="B1" sqref="B1"/>
      <selection pane="bottomLeft" activeCell="A4" sqref="A4"/>
      <selection pane="bottomRight" activeCell="Z7" sqref="Z7"/>
    </sheetView>
  </sheetViews>
  <sheetFormatPr defaultRowHeight="15" x14ac:dyDescent="0.25"/>
  <cols>
    <col min="1" max="1" width="13.28515625" customWidth="1"/>
    <col min="2" max="3" width="10" customWidth="1"/>
    <col min="4" max="4" width="10.140625" customWidth="1"/>
    <col min="5" max="6" width="9.28515625" bestFit="1" customWidth="1"/>
    <col min="7" max="8" width="9.28515625" customWidth="1"/>
    <col min="9" max="11" width="9.28515625" bestFit="1" customWidth="1"/>
    <col min="12" max="12" width="9.28515625" customWidth="1"/>
    <col min="13" max="14" width="9.28515625" bestFit="1" customWidth="1"/>
    <col min="15" max="16" width="9.28515625" customWidth="1"/>
    <col min="17" max="19" width="9.28515625" bestFit="1" customWidth="1"/>
    <col min="20" max="20" width="10.5703125" bestFit="1" customWidth="1"/>
    <col min="21" max="22" width="9.28515625" bestFit="1" customWidth="1"/>
    <col min="23" max="23" width="9.28515625" customWidth="1"/>
    <col min="24" max="25" width="9.28515625" bestFit="1" customWidth="1"/>
    <col min="26" max="27" width="9.28515625" customWidth="1"/>
    <col min="28" max="30" width="9.28515625" bestFit="1" customWidth="1"/>
    <col min="31" max="34" width="9.28515625" customWidth="1"/>
    <col min="35" max="37" width="9.28515625" bestFit="1" customWidth="1"/>
    <col min="38" max="38" width="11.5703125" bestFit="1" customWidth="1"/>
    <col min="39" max="40" width="9.28515625" bestFit="1" customWidth="1"/>
    <col min="41" max="41" width="11.5703125" bestFit="1" customWidth="1"/>
    <col min="42" max="43" width="9.28515625" bestFit="1" customWidth="1"/>
    <col min="44" max="44" width="10.5703125" bestFit="1" customWidth="1"/>
    <col min="45" max="45" width="9.5703125" bestFit="1" customWidth="1"/>
    <col min="46" max="46" width="21.85546875" customWidth="1"/>
    <col min="47" max="47" width="19.140625" customWidth="1"/>
    <col min="48" max="48" width="20.85546875" customWidth="1"/>
  </cols>
  <sheetData>
    <row r="1" spans="1:48" ht="18.75" x14ac:dyDescent="0.3">
      <c r="A1" s="36"/>
      <c r="B1" s="120" t="s">
        <v>99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61"/>
      <c r="AA1" s="61"/>
      <c r="AB1" s="120" t="s">
        <v>62</v>
      </c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120"/>
      <c r="AV1" s="121"/>
    </row>
    <row r="2" spans="1:48" x14ac:dyDescent="0.25">
      <c r="A2" s="30"/>
      <c r="B2" s="122" t="s">
        <v>7</v>
      </c>
      <c r="C2" s="123"/>
      <c r="D2" s="123"/>
      <c r="E2" s="123"/>
      <c r="F2" s="122" t="s">
        <v>6</v>
      </c>
      <c r="G2" s="123"/>
      <c r="H2" s="123"/>
      <c r="I2" s="123"/>
      <c r="J2" s="124"/>
      <c r="K2" s="123" t="s">
        <v>5</v>
      </c>
      <c r="L2" s="123"/>
      <c r="M2" s="123"/>
      <c r="N2" s="122" t="s">
        <v>4</v>
      </c>
      <c r="O2" s="123"/>
      <c r="P2" s="123"/>
      <c r="Q2" s="123"/>
      <c r="R2" s="124"/>
      <c r="S2" s="123" t="s">
        <v>8</v>
      </c>
      <c r="T2" s="123"/>
      <c r="U2" s="123"/>
      <c r="V2" s="122" t="s">
        <v>9</v>
      </c>
      <c r="W2" s="123"/>
      <c r="X2" s="124"/>
      <c r="Y2" s="123" t="s">
        <v>10</v>
      </c>
      <c r="Z2" s="123"/>
      <c r="AA2" s="123"/>
      <c r="AB2" s="123"/>
      <c r="AC2" s="123"/>
      <c r="AD2" s="122" t="s">
        <v>11</v>
      </c>
      <c r="AE2" s="123"/>
      <c r="AF2" s="123"/>
      <c r="AG2" s="123"/>
      <c r="AH2" s="123"/>
      <c r="AI2" s="123"/>
      <c r="AJ2" s="124"/>
      <c r="AK2" s="123" t="s">
        <v>12</v>
      </c>
      <c r="AL2" s="123"/>
      <c r="AM2" s="123"/>
      <c r="AN2" s="122" t="s">
        <v>14</v>
      </c>
      <c r="AO2" s="123"/>
      <c r="AP2" s="124"/>
      <c r="AQ2" s="123" t="s">
        <v>15</v>
      </c>
      <c r="AR2" s="123"/>
      <c r="AS2" s="123"/>
      <c r="AT2" s="3" t="s">
        <v>16</v>
      </c>
      <c r="AU2" s="25" t="s">
        <v>17</v>
      </c>
      <c r="AV2" s="3" t="s">
        <v>18</v>
      </c>
    </row>
    <row r="3" spans="1:48" x14ac:dyDescent="0.25">
      <c r="A3" s="31"/>
      <c r="B3" s="26" t="s">
        <v>1</v>
      </c>
      <c r="C3" s="27" t="s">
        <v>134</v>
      </c>
      <c r="D3" s="27" t="s">
        <v>2</v>
      </c>
      <c r="E3" s="27" t="s">
        <v>3</v>
      </c>
      <c r="F3" s="26" t="s">
        <v>1</v>
      </c>
      <c r="G3" s="27" t="s">
        <v>134</v>
      </c>
      <c r="H3" s="27" t="s">
        <v>135</v>
      </c>
      <c r="I3" s="27" t="s">
        <v>2</v>
      </c>
      <c r="J3" s="28" t="s">
        <v>3</v>
      </c>
      <c r="K3" s="27" t="s">
        <v>1</v>
      </c>
      <c r="L3" s="27" t="s">
        <v>134</v>
      </c>
      <c r="M3" s="27" t="s">
        <v>2</v>
      </c>
      <c r="N3" s="26" t="s">
        <v>1</v>
      </c>
      <c r="O3" s="27" t="s">
        <v>134</v>
      </c>
      <c r="P3" s="27" t="s">
        <v>135</v>
      </c>
      <c r="Q3" s="27" t="s">
        <v>2</v>
      </c>
      <c r="R3" s="28" t="s">
        <v>3</v>
      </c>
      <c r="S3" s="27" t="s">
        <v>1</v>
      </c>
      <c r="T3" s="27" t="s">
        <v>2</v>
      </c>
      <c r="U3" s="27" t="s">
        <v>3</v>
      </c>
      <c r="V3" s="26" t="s">
        <v>1</v>
      </c>
      <c r="W3" s="27" t="s">
        <v>134</v>
      </c>
      <c r="X3" s="28" t="s">
        <v>2</v>
      </c>
      <c r="Y3" s="27" t="s">
        <v>1</v>
      </c>
      <c r="Z3" s="27" t="s">
        <v>134</v>
      </c>
      <c r="AA3" s="27" t="s">
        <v>135</v>
      </c>
      <c r="AB3" s="27" t="s">
        <v>2</v>
      </c>
      <c r="AC3" s="27" t="s">
        <v>3</v>
      </c>
      <c r="AD3" s="26" t="s">
        <v>1</v>
      </c>
      <c r="AE3" s="27" t="s">
        <v>136</v>
      </c>
      <c r="AF3" s="27" t="s">
        <v>134</v>
      </c>
      <c r="AG3" s="27" t="s">
        <v>135</v>
      </c>
      <c r="AH3" s="27" t="s">
        <v>137</v>
      </c>
      <c r="AI3" s="27" t="s">
        <v>2</v>
      </c>
      <c r="AJ3" s="28" t="s">
        <v>3</v>
      </c>
      <c r="AK3" s="27" t="s">
        <v>1</v>
      </c>
      <c r="AL3" s="27" t="s">
        <v>2</v>
      </c>
      <c r="AM3" s="27" t="s">
        <v>13</v>
      </c>
      <c r="AN3" s="26" t="s">
        <v>1</v>
      </c>
      <c r="AO3" s="27" t="s">
        <v>2</v>
      </c>
      <c r="AP3" s="28" t="s">
        <v>13</v>
      </c>
      <c r="AQ3" s="27" t="s">
        <v>1</v>
      </c>
      <c r="AR3" s="27" t="s">
        <v>2</v>
      </c>
      <c r="AS3" s="27" t="s">
        <v>13</v>
      </c>
      <c r="AT3" s="29" t="s">
        <v>19</v>
      </c>
      <c r="AU3" s="27" t="s">
        <v>19</v>
      </c>
      <c r="AV3" s="29" t="s">
        <v>19</v>
      </c>
    </row>
    <row r="4" spans="1:48" x14ac:dyDescent="0.25">
      <c r="A4" s="32">
        <f>RunInformation!AD5</f>
        <v>44135</v>
      </c>
      <c r="B4" s="6">
        <v>6490.7026421239161</v>
      </c>
      <c r="C4" s="7">
        <v>32.999999999999972</v>
      </c>
      <c r="D4" s="7">
        <v>58.482527939565493</v>
      </c>
      <c r="E4" s="7">
        <v>33.820986234552585</v>
      </c>
      <c r="F4" s="6">
        <v>6025.3194005702517</v>
      </c>
      <c r="G4" s="7">
        <v>63.482527939565536</v>
      </c>
      <c r="H4" s="7">
        <v>38.000000000000021</v>
      </c>
      <c r="I4" s="7">
        <v>79.933884297520592</v>
      </c>
      <c r="J4" s="8">
        <v>0</v>
      </c>
      <c r="K4" s="7">
        <v>9308.5046460185222</v>
      </c>
      <c r="L4" s="7">
        <v>4.3999999999999995</v>
      </c>
      <c r="M4" s="7">
        <v>6.1487603305785079</v>
      </c>
      <c r="N4" s="6">
        <v>7466.4698465532028</v>
      </c>
      <c r="O4" s="7">
        <v>25.748760330578527</v>
      </c>
      <c r="P4" s="7">
        <v>24.000000000000014</v>
      </c>
      <c r="Q4" s="7">
        <v>51.617763134866593</v>
      </c>
      <c r="R4" s="8">
        <v>0</v>
      </c>
      <c r="S4" s="7">
        <v>6753.0400000001837</v>
      </c>
      <c r="T4" s="71">
        <v>822.91737580593951</v>
      </c>
      <c r="U4" s="71">
        <v>0</v>
      </c>
      <c r="V4" s="6">
        <v>7622.887547526575</v>
      </c>
      <c r="W4" s="7">
        <v>5.0000000000000027</v>
      </c>
      <c r="X4" s="8">
        <v>1.844628030000981</v>
      </c>
      <c r="Y4" s="7">
        <v>6041.2001286660225</v>
      </c>
      <c r="Z4" s="7">
        <v>8.8376280300009871</v>
      </c>
      <c r="AA4" s="7">
        <v>12.000000000000009</v>
      </c>
      <c r="AB4" s="40">
        <v>21.520661157024769</v>
      </c>
      <c r="AC4" s="7">
        <v>0</v>
      </c>
      <c r="AD4" s="6">
        <v>3592.61287207441</v>
      </c>
      <c r="AE4" s="7">
        <v>11058.69972822473</v>
      </c>
      <c r="AF4" s="7">
        <v>334.21276261153872</v>
      </c>
      <c r="AG4" s="7">
        <v>250.00000000000011</v>
      </c>
      <c r="AH4" s="7">
        <v>31.007404517242509</v>
      </c>
      <c r="AI4" s="7">
        <v>639.99999999966485</v>
      </c>
      <c r="AJ4" s="8">
        <v>0</v>
      </c>
      <c r="AK4" s="7">
        <v>1082.0102702673112</v>
      </c>
      <c r="AL4" s="37">
        <v>760363.80166974606</v>
      </c>
      <c r="AM4" s="7">
        <v>300.67070615926053</v>
      </c>
      <c r="AN4" s="6">
        <v>635.99722949062857</v>
      </c>
      <c r="AO4" s="40">
        <v>748440.44272576424</v>
      </c>
      <c r="AP4" s="8">
        <v>90.037658563163134</v>
      </c>
      <c r="AQ4" s="7">
        <v>447.49999999907499</v>
      </c>
      <c r="AR4" s="40">
        <v>463663.99999999994</v>
      </c>
      <c r="AS4" s="40">
        <v>30424.605444350313</v>
      </c>
      <c r="AT4" s="9">
        <v>18806.710513353122</v>
      </c>
      <c r="AU4" s="7">
        <v>98995.999999999985</v>
      </c>
      <c r="AV4" s="9">
        <v>174999.99999999997</v>
      </c>
    </row>
    <row r="5" spans="1:48" x14ac:dyDescent="0.25">
      <c r="A5" s="32">
        <f>EOMONTH(A4,1)</f>
        <v>44165</v>
      </c>
      <c r="B5" s="10">
        <v>6487.3252888410589</v>
      </c>
      <c r="C5" s="11">
        <v>35</v>
      </c>
      <c r="D5" s="11">
        <v>56.595994780224665</v>
      </c>
      <c r="E5" s="11">
        <v>0</v>
      </c>
      <c r="F5" s="10">
        <v>6024.8741019836498</v>
      </c>
      <c r="G5" s="11">
        <v>63.595994780224665</v>
      </c>
      <c r="H5" s="11">
        <v>41.999999999999993</v>
      </c>
      <c r="I5" s="11">
        <v>77.35537190082637</v>
      </c>
      <c r="J5" s="12">
        <v>0</v>
      </c>
      <c r="K5" s="11">
        <v>9308.0770424395087</v>
      </c>
      <c r="L5" s="11">
        <v>3.8000000000000007</v>
      </c>
      <c r="M5" s="11">
        <v>4.4628099173553686</v>
      </c>
      <c r="N5" s="10">
        <v>7467.3699770632256</v>
      </c>
      <c r="O5" s="11">
        <v>22.662809917355389</v>
      </c>
      <c r="P5" s="11">
        <v>22.000000000000021</v>
      </c>
      <c r="Q5" s="11">
        <v>16.552250639548348</v>
      </c>
      <c r="R5" s="12">
        <v>0</v>
      </c>
      <c r="S5" s="11">
        <v>6753.0390355238924</v>
      </c>
      <c r="T5" s="75">
        <v>361.6666666675801</v>
      </c>
      <c r="U5" s="75">
        <v>0</v>
      </c>
      <c r="V5" s="10">
        <v>7624.3164736665958</v>
      </c>
      <c r="W5" s="11">
        <v>4.0000000000000009</v>
      </c>
      <c r="X5" s="12">
        <v>1.7851239000009493</v>
      </c>
      <c r="Y5" s="11">
        <v>6040.6611790478501</v>
      </c>
      <c r="Z5" s="11">
        <v>15.785123900000928</v>
      </c>
      <c r="AA5" s="11">
        <v>17.999999999999982</v>
      </c>
      <c r="AB5" s="41">
        <v>20.826446280991714</v>
      </c>
      <c r="AC5" s="11">
        <v>0</v>
      </c>
      <c r="AD5" s="10">
        <v>3589.2887813439725</v>
      </c>
      <c r="AE5" s="11">
        <v>10756.243667925901</v>
      </c>
      <c r="AF5" s="11">
        <v>342.75347933889736</v>
      </c>
      <c r="AG5" s="11">
        <v>310.00000000000011</v>
      </c>
      <c r="AH5" s="11">
        <v>29.406017027805454</v>
      </c>
      <c r="AI5" s="11">
        <v>639.99999999966485</v>
      </c>
      <c r="AJ5" s="12">
        <v>0</v>
      </c>
      <c r="AK5" s="11">
        <v>1081.4773548043402</v>
      </c>
      <c r="AL5" s="38">
        <v>702215.73959156522</v>
      </c>
      <c r="AM5" s="11">
        <v>272.75636200557699</v>
      </c>
      <c r="AN5" s="10">
        <v>638.00068114730971</v>
      </c>
      <c r="AO5" s="41">
        <v>620644.79106421839</v>
      </c>
      <c r="AP5" s="12">
        <v>75.467647477427633</v>
      </c>
      <c r="AQ5" s="11">
        <v>447.49999999999727</v>
      </c>
      <c r="AR5" s="41">
        <v>368806.99998769327</v>
      </c>
      <c r="AS5" s="41">
        <v>24021.817837892188</v>
      </c>
      <c r="AT5" s="13">
        <v>10846.710513353126</v>
      </c>
      <c r="AU5" s="11">
        <v>94839.732374998799</v>
      </c>
      <c r="AV5" s="13">
        <v>159308.32139136319</v>
      </c>
    </row>
    <row r="6" spans="1:48" x14ac:dyDescent="0.25">
      <c r="A6" s="32">
        <f t="shared" ref="A6:A35" si="0">EOMONTH(A5,1)</f>
        <v>44196</v>
      </c>
      <c r="B6" s="10">
        <v>6482.5557923407096</v>
      </c>
      <c r="C6" s="11">
        <v>29.999999999999996</v>
      </c>
      <c r="D6" s="11">
        <v>58.482527939565493</v>
      </c>
      <c r="E6" s="11">
        <v>0</v>
      </c>
      <c r="F6" s="10">
        <v>6023.9328142622671</v>
      </c>
      <c r="G6" s="11">
        <v>60.482527939565479</v>
      </c>
      <c r="H6" s="11">
        <v>31.999999999999986</v>
      </c>
      <c r="I6" s="11">
        <v>94.765832465441974</v>
      </c>
      <c r="J6" s="12">
        <v>0</v>
      </c>
      <c r="K6" s="11">
        <v>9307.3537552369344</v>
      </c>
      <c r="L6" s="11">
        <v>3.5000000000000027</v>
      </c>
      <c r="M6" s="11">
        <v>4.6115702479338809</v>
      </c>
      <c r="N6" s="10">
        <v>7468.037263139674</v>
      </c>
      <c r="O6" s="11">
        <v>21.111570247933855</v>
      </c>
      <c r="P6" s="11">
        <v>19.999999999999975</v>
      </c>
      <c r="Q6" s="11">
        <v>16.546454243480269</v>
      </c>
      <c r="R6" s="12">
        <v>0</v>
      </c>
      <c r="S6" s="11">
        <v>6753.0400000000072</v>
      </c>
      <c r="T6" s="75">
        <v>349.99535546419003</v>
      </c>
      <c r="U6" s="75">
        <v>0</v>
      </c>
      <c r="V6" s="10">
        <v>7625.6588899917015</v>
      </c>
      <c r="W6" s="11">
        <v>4.0000000000000018</v>
      </c>
      <c r="X6" s="12">
        <v>1.844628030000981</v>
      </c>
      <c r="Y6" s="11">
        <v>6039.9946589424435</v>
      </c>
      <c r="Z6" s="11">
        <v>14.844628030000967</v>
      </c>
      <c r="AA6" s="11">
        <v>16.999999999999989</v>
      </c>
      <c r="AB6" s="41">
        <v>21.520661157024769</v>
      </c>
      <c r="AC6" s="11">
        <v>0</v>
      </c>
      <c r="AD6" s="10">
        <v>3585.0390223629042</v>
      </c>
      <c r="AE6" s="11">
        <v>10377.383701348155</v>
      </c>
      <c r="AF6" s="11">
        <v>333.80686919811615</v>
      </c>
      <c r="AG6" s="11">
        <v>270.00000000000006</v>
      </c>
      <c r="AH6" s="11">
        <v>22.975633844404111</v>
      </c>
      <c r="AI6" s="11">
        <v>719.9999999998256</v>
      </c>
      <c r="AJ6" s="12">
        <v>0</v>
      </c>
      <c r="AK6" s="11">
        <v>1084.9885349570793</v>
      </c>
      <c r="AL6" s="38">
        <v>427483.25249493384</v>
      </c>
      <c r="AM6" s="11">
        <v>162.87811200115087</v>
      </c>
      <c r="AN6" s="10">
        <v>639.50562092495773</v>
      </c>
      <c r="AO6" s="41">
        <v>366177.01679873723</v>
      </c>
      <c r="AP6" s="12">
        <v>45.755580143394504</v>
      </c>
      <c r="AQ6" s="11">
        <v>446.50000000010687</v>
      </c>
      <c r="AR6" s="41">
        <v>234745.99999990905</v>
      </c>
      <c r="AS6" s="41">
        <v>14539.077753275247</v>
      </c>
      <c r="AT6" s="13">
        <v>5428.7105133531313</v>
      </c>
      <c r="AU6" s="11">
        <v>97557.732374998828</v>
      </c>
      <c r="AV6" s="13">
        <v>63933.321391363097</v>
      </c>
    </row>
    <row r="7" spans="1:48" x14ac:dyDescent="0.25">
      <c r="A7" s="32">
        <f t="shared" si="0"/>
        <v>44227</v>
      </c>
      <c r="B7" s="10">
        <v>6476.7655860171308</v>
      </c>
      <c r="C7" s="11">
        <v>28.000000000000004</v>
      </c>
      <c r="D7" s="11">
        <v>58.482527939565493</v>
      </c>
      <c r="E7" s="11">
        <v>0</v>
      </c>
      <c r="F7" s="10">
        <v>6023.7372284265421</v>
      </c>
      <c r="G7" s="11">
        <v>64.482527939565472</v>
      </c>
      <c r="H7" s="11">
        <v>33.999999999999972</v>
      </c>
      <c r="I7" s="11">
        <v>70.231404958677615</v>
      </c>
      <c r="J7" s="12">
        <v>0</v>
      </c>
      <c r="K7" s="11">
        <v>9306.2909049672016</v>
      </c>
      <c r="L7" s="11">
        <v>2.9999999999999991</v>
      </c>
      <c r="M7" s="11">
        <v>4.6115702479338809</v>
      </c>
      <c r="N7" s="10">
        <v>7466.5004067183281</v>
      </c>
      <c r="O7" s="11">
        <v>19.611570247933862</v>
      </c>
      <c r="P7" s="11">
        <v>17.999999999999982</v>
      </c>
      <c r="Q7" s="11">
        <v>29.587008890148098</v>
      </c>
      <c r="R7" s="12">
        <v>0</v>
      </c>
      <c r="S7" s="11">
        <v>6753.0399999999763</v>
      </c>
      <c r="T7" s="75">
        <v>545.83332567361776</v>
      </c>
      <c r="U7" s="75">
        <v>0</v>
      </c>
      <c r="V7" s="10">
        <v>7626.9529800823075</v>
      </c>
      <c r="W7" s="11">
        <v>4.0000000000000018</v>
      </c>
      <c r="X7" s="12">
        <v>1.844628030000981</v>
      </c>
      <c r="Y7" s="11">
        <v>6039.2315840796</v>
      </c>
      <c r="Z7" s="11">
        <v>13.844628030000971</v>
      </c>
      <c r="AA7" s="11">
        <v>15.999999999999993</v>
      </c>
      <c r="AB7" s="41">
        <v>21.520661157024769</v>
      </c>
      <c r="AC7" s="11">
        <v>0</v>
      </c>
      <c r="AD7" s="10">
        <v>3579.3436644274843</v>
      </c>
      <c r="AE7" s="11">
        <v>9883.4136049474873</v>
      </c>
      <c r="AF7" s="11">
        <v>333.31404911579915</v>
      </c>
      <c r="AG7" s="11">
        <v>280</v>
      </c>
      <c r="AH7" s="11">
        <v>6.8017541493738536</v>
      </c>
      <c r="AI7" s="11">
        <v>859.99999999929616</v>
      </c>
      <c r="AJ7" s="12">
        <v>0</v>
      </c>
      <c r="AK7" s="11">
        <v>1089.3472114774916</v>
      </c>
      <c r="AL7" s="38">
        <v>517309.71149808477</v>
      </c>
      <c r="AM7" s="11">
        <v>203.34616024848785</v>
      </c>
      <c r="AN7" s="10">
        <v>641.7975469189879</v>
      </c>
      <c r="AO7" s="41">
        <v>424752.8288362805</v>
      </c>
      <c r="AP7" s="12">
        <v>53.63059208602273</v>
      </c>
      <c r="AQ7" s="11">
        <v>446.49999999999773</v>
      </c>
      <c r="AR7" s="41">
        <v>255294.56997194191</v>
      </c>
      <c r="AS7" s="41">
        <v>15983.99132626447</v>
      </c>
      <c r="AT7" s="13">
        <v>10570.223105651576</v>
      </c>
      <c r="AU7" s="11">
        <v>93847.666666666759</v>
      </c>
      <c r="AV7" s="13">
        <v>84768.899653484055</v>
      </c>
    </row>
    <row r="8" spans="1:48" x14ac:dyDescent="0.25">
      <c r="A8" s="32">
        <f t="shared" si="0"/>
        <v>44255</v>
      </c>
      <c r="B8" s="10">
        <v>6470.8906046262773</v>
      </c>
      <c r="C8" s="11">
        <v>25.999999999999982</v>
      </c>
      <c r="D8" s="11">
        <v>52.822928461543022</v>
      </c>
      <c r="E8" s="11">
        <v>0</v>
      </c>
      <c r="F8" s="10">
        <v>6023.66973392195</v>
      </c>
      <c r="G8" s="11">
        <v>62.822928461543029</v>
      </c>
      <c r="H8" s="11">
        <v>35.999999999999979</v>
      </c>
      <c r="I8" s="11">
        <v>63.305785123966885</v>
      </c>
      <c r="J8" s="12">
        <v>0</v>
      </c>
      <c r="K8" s="11">
        <v>9305.0386607021828</v>
      </c>
      <c r="L8" s="11">
        <v>2.299999999999998</v>
      </c>
      <c r="M8" s="11">
        <v>4.1652892561983439</v>
      </c>
      <c r="N8" s="10">
        <v>7465.1688729420912</v>
      </c>
      <c r="O8" s="11">
        <v>17.86528925619832</v>
      </c>
      <c r="P8" s="11">
        <v>15.999999999999977</v>
      </c>
      <c r="Q8" s="11">
        <v>26.341567949259783</v>
      </c>
      <c r="R8" s="12">
        <v>0</v>
      </c>
      <c r="S8" s="11">
        <v>6753.0372994301715</v>
      </c>
      <c r="T8" s="75">
        <v>545.83334077413258</v>
      </c>
      <c r="U8" s="75">
        <v>0</v>
      </c>
      <c r="V8" s="10">
        <v>7627.7102723996259</v>
      </c>
      <c r="W8" s="11">
        <v>3</v>
      </c>
      <c r="X8" s="12">
        <v>1.6661156400008861</v>
      </c>
      <c r="Y8" s="11">
        <v>6039.0834509128108</v>
      </c>
      <c r="Z8" s="11">
        <v>18.666115640000886</v>
      </c>
      <c r="AA8" s="11">
        <v>20</v>
      </c>
      <c r="AB8" s="41">
        <v>19.438016528925601</v>
      </c>
      <c r="AC8" s="11">
        <v>0</v>
      </c>
      <c r="AD8" s="10">
        <v>3575.3955120023888</v>
      </c>
      <c r="AE8" s="11">
        <v>9550.2163236792276</v>
      </c>
      <c r="AF8" s="11">
        <v>327.20185165291059</v>
      </c>
      <c r="AG8" s="11">
        <v>290.00000000000017</v>
      </c>
      <c r="AH8" s="11">
        <v>7.0549160457806703</v>
      </c>
      <c r="AI8" s="11">
        <v>679.99999999974511</v>
      </c>
      <c r="AJ8" s="12">
        <v>0</v>
      </c>
      <c r="AK8" s="11">
        <v>1091.7800901548676</v>
      </c>
      <c r="AL8" s="38">
        <v>518043.56768706633</v>
      </c>
      <c r="AM8" s="11">
        <v>203.06495245641597</v>
      </c>
      <c r="AN8" s="10">
        <v>641.79754691899575</v>
      </c>
      <c r="AO8" s="41">
        <v>497977.65364275203</v>
      </c>
      <c r="AP8" s="12">
        <v>62.980855126967924</v>
      </c>
      <c r="AQ8" s="11">
        <v>446.49999999999812</v>
      </c>
      <c r="AR8" s="41">
        <v>393137.47991897934</v>
      </c>
      <c r="AS8" s="41">
        <v>25528.274447521941</v>
      </c>
      <c r="AT8" s="13">
        <v>10650.479754871281</v>
      </c>
      <c r="AU8" s="11">
        <v>20736.666666666693</v>
      </c>
      <c r="AV8" s="13">
        <v>79600.171925661183</v>
      </c>
    </row>
    <row r="9" spans="1:48" x14ac:dyDescent="0.25">
      <c r="A9" s="32">
        <f t="shared" si="0"/>
        <v>44286</v>
      </c>
      <c r="B9" s="10">
        <v>6467.0486690928274</v>
      </c>
      <c r="C9" s="11">
        <v>43</v>
      </c>
      <c r="D9" s="11">
        <v>58.482527939565493</v>
      </c>
      <c r="E9" s="11">
        <v>0</v>
      </c>
      <c r="F9" s="10">
        <v>6024.9354223684659</v>
      </c>
      <c r="G9" s="11">
        <v>100.48252793956546</v>
      </c>
      <c r="H9" s="11">
        <v>84.999999999999943</v>
      </c>
      <c r="I9" s="11">
        <v>49.190082644628063</v>
      </c>
      <c r="J9" s="12">
        <v>0</v>
      </c>
      <c r="K9" s="11">
        <v>9303.9366894841842</v>
      </c>
      <c r="L9" s="11">
        <v>2.9999999999999991</v>
      </c>
      <c r="M9" s="11">
        <v>4.6115702479338809</v>
      </c>
      <c r="N9" s="10">
        <v>7466.4948755807882</v>
      </c>
      <c r="O9" s="11">
        <v>28.611570247933891</v>
      </c>
      <c r="P9" s="11">
        <v>27.000000000000004</v>
      </c>
      <c r="Q9" s="11">
        <v>19.625063405474926</v>
      </c>
      <c r="R9" s="12">
        <v>19.625063405474926</v>
      </c>
      <c r="S9" s="11">
        <v>6753.0400000001937</v>
      </c>
      <c r="T9" s="75">
        <v>431.97623477480914</v>
      </c>
      <c r="U9" s="75">
        <v>0</v>
      </c>
      <c r="V9" s="10">
        <v>7629.4610609192032</v>
      </c>
      <c r="W9" s="11">
        <v>5.0000000000000027</v>
      </c>
      <c r="X9" s="12">
        <v>1.844628030000981</v>
      </c>
      <c r="Y9" s="11">
        <v>6040.7263631254664</v>
      </c>
      <c r="Z9" s="11">
        <v>46.267628030001013</v>
      </c>
      <c r="AA9" s="11">
        <v>52.000000000000021</v>
      </c>
      <c r="AB9" s="41">
        <v>21.520661157024769</v>
      </c>
      <c r="AC9" s="11">
        <v>0</v>
      </c>
      <c r="AD9" s="10">
        <v>3571.0437777966108</v>
      </c>
      <c r="AE9" s="11">
        <v>9191.7067076428484</v>
      </c>
      <c r="AF9" s="11">
        <v>424.48892716301333</v>
      </c>
      <c r="AG9" s="11">
        <v>490.00000000000034</v>
      </c>
      <c r="AH9" s="11">
        <v>11.679313167726223</v>
      </c>
      <c r="AI9" s="11">
        <v>799.99999999998624</v>
      </c>
      <c r="AJ9" s="12">
        <v>0</v>
      </c>
      <c r="AK9" s="11">
        <v>1090.4531938143384</v>
      </c>
      <c r="AL9" s="38">
        <v>966715.08271409944</v>
      </c>
      <c r="AM9" s="11">
        <v>392.2896035812883</v>
      </c>
      <c r="AN9" s="10">
        <v>643.05459791104886</v>
      </c>
      <c r="AO9" s="41">
        <v>907792.5084922557</v>
      </c>
      <c r="AP9" s="12">
        <v>113.48623411414057</v>
      </c>
      <c r="AQ9" s="11">
        <v>446.69999999993462</v>
      </c>
      <c r="AR9" s="41">
        <v>638373.26349244383</v>
      </c>
      <c r="AS9" s="41">
        <v>41335.469140513909</v>
      </c>
      <c r="AT9" s="13">
        <v>14856.772980817505</v>
      </c>
      <c r="AU9" s="11">
        <v>89676.666666666672</v>
      </c>
      <c r="AV9" s="13">
        <v>163330.76058663742</v>
      </c>
    </row>
    <row r="10" spans="1:48" x14ac:dyDescent="0.25">
      <c r="A10" s="32">
        <f t="shared" si="0"/>
        <v>44316</v>
      </c>
      <c r="B10" s="10">
        <v>6465.1050266401335</v>
      </c>
      <c r="C10" s="11">
        <v>70</v>
      </c>
      <c r="D10" s="11">
        <v>76.974999136662163</v>
      </c>
      <c r="E10" s="11">
        <v>0</v>
      </c>
      <c r="F10" s="10">
        <v>6026.6047885180997</v>
      </c>
      <c r="G10" s="11">
        <v>116.97499913666198</v>
      </c>
      <c r="H10" s="11">
        <v>109.99999999999982</v>
      </c>
      <c r="I10" s="11">
        <v>47.603305785123915</v>
      </c>
      <c r="J10" s="12">
        <v>0</v>
      </c>
      <c r="K10" s="11">
        <v>9304.306160796812</v>
      </c>
      <c r="L10" s="11">
        <v>5.0000000000000018</v>
      </c>
      <c r="M10" s="11">
        <v>4.4628099173553686</v>
      </c>
      <c r="N10" s="10">
        <v>7468.0463966276257</v>
      </c>
      <c r="O10" s="11">
        <v>54.462809917355393</v>
      </c>
      <c r="P10" s="11">
        <v>55.000000000000028</v>
      </c>
      <c r="Q10" s="11">
        <v>43.619641535620346</v>
      </c>
      <c r="R10" s="12">
        <v>43.619641535620346</v>
      </c>
      <c r="S10" s="11">
        <v>6753.0369792800257</v>
      </c>
      <c r="T10" s="75">
        <v>1067.5000000002592</v>
      </c>
      <c r="U10" s="75">
        <v>0</v>
      </c>
      <c r="V10" s="10">
        <v>7634.8580575685965</v>
      </c>
      <c r="W10" s="11">
        <v>12.000000000000007</v>
      </c>
      <c r="X10" s="12">
        <v>1.7851239000009493</v>
      </c>
      <c r="Y10" s="11">
        <v>6044.2919685136521</v>
      </c>
      <c r="Z10" s="11">
        <v>83.999123900001237</v>
      </c>
      <c r="AA10" s="11">
        <v>105.00000000000027</v>
      </c>
      <c r="AB10" s="41">
        <v>20.826446280991714</v>
      </c>
      <c r="AC10" s="11">
        <v>0</v>
      </c>
      <c r="AD10" s="10">
        <v>3569.8574819239666</v>
      </c>
      <c r="AE10" s="11">
        <v>9095.5666300867706</v>
      </c>
      <c r="AF10" s="11">
        <v>554.39841322315624</v>
      </c>
      <c r="AG10" s="11">
        <v>680.00000000000068</v>
      </c>
      <c r="AH10" s="11">
        <v>18.229694643547326</v>
      </c>
      <c r="AI10" s="11">
        <v>639.99999999966485</v>
      </c>
      <c r="AJ10" s="12">
        <v>0</v>
      </c>
      <c r="AK10" s="11">
        <v>1086.2687974131527</v>
      </c>
      <c r="AL10" s="38">
        <v>1031101.8125373595</v>
      </c>
      <c r="AM10" s="11">
        <v>415.75042469213764</v>
      </c>
      <c r="AN10" s="10">
        <v>642.99981670142893</v>
      </c>
      <c r="AO10" s="41">
        <v>1003405.9939291474</v>
      </c>
      <c r="AP10" s="12">
        <v>125.33779866143465</v>
      </c>
      <c r="AQ10" s="11">
        <v>448.69999999886124</v>
      </c>
      <c r="AR10" s="41">
        <v>708253.93267056788</v>
      </c>
      <c r="AS10" s="41">
        <v>46616.479673442358</v>
      </c>
      <c r="AT10" s="13">
        <v>21043.293425405631</v>
      </c>
      <c r="AU10" s="11">
        <v>86729.666666666672</v>
      </c>
      <c r="AV10" s="13">
        <v>157128.46234635962</v>
      </c>
    </row>
    <row r="11" spans="1:48" x14ac:dyDescent="0.25">
      <c r="A11" s="32">
        <f t="shared" si="0"/>
        <v>44347</v>
      </c>
      <c r="B11" s="10">
        <v>6474.4278139398421</v>
      </c>
      <c r="C11" s="11">
        <v>120.00000000000009</v>
      </c>
      <c r="D11" s="11">
        <v>79.540832441217574</v>
      </c>
      <c r="E11" s="11">
        <v>0</v>
      </c>
      <c r="F11" s="10">
        <v>6027.7817912196078</v>
      </c>
      <c r="G11" s="11">
        <v>119.54083244121742</v>
      </c>
      <c r="H11" s="11">
        <v>159.99999999999991</v>
      </c>
      <c r="I11" s="11">
        <v>65.719008264439381</v>
      </c>
      <c r="J11" s="12">
        <v>0</v>
      </c>
      <c r="K11" s="11">
        <v>9314.0564141787909</v>
      </c>
      <c r="L11" s="11">
        <v>23.000000000000021</v>
      </c>
      <c r="M11" s="11">
        <v>7.685950413223134</v>
      </c>
      <c r="N11" s="10">
        <v>7475.6566347481139</v>
      </c>
      <c r="O11" s="11">
        <v>154.685950413223</v>
      </c>
      <c r="P11" s="11">
        <v>169.99999999999989</v>
      </c>
      <c r="Q11" s="11">
        <v>101.65406124645999</v>
      </c>
      <c r="R11" s="12">
        <v>95.628612696643344</v>
      </c>
      <c r="S11" s="11">
        <v>6753.0400000000018</v>
      </c>
      <c r="T11" s="75">
        <v>2382.6924752923837</v>
      </c>
      <c r="U11" s="75">
        <v>12.30765505350247</v>
      </c>
      <c r="V11" s="10">
        <v>7654.3152522286173</v>
      </c>
      <c r="W11" s="11">
        <v>45.999999999999986</v>
      </c>
      <c r="X11" s="12">
        <v>1.844628030000981</v>
      </c>
      <c r="Y11" s="11">
        <v>6049.2599613692328</v>
      </c>
      <c r="Z11" s="11">
        <v>118.08962803000111</v>
      </c>
      <c r="AA11" s="11">
        <v>185.00000000000014</v>
      </c>
      <c r="AB11" s="41">
        <v>21.520661157024769</v>
      </c>
      <c r="AC11" s="11">
        <v>0</v>
      </c>
      <c r="AD11" s="10">
        <v>3576.0900177922422</v>
      </c>
      <c r="AE11" s="11">
        <v>9608.2807501714451</v>
      </c>
      <c r="AF11" s="11">
        <v>1283.0357191419237</v>
      </c>
      <c r="AG11" s="11">
        <v>1550.0000000000023</v>
      </c>
      <c r="AH11" s="11">
        <v>21.875368950714225</v>
      </c>
      <c r="AI11" s="11">
        <v>707.42909947570843</v>
      </c>
      <c r="AJ11" s="12">
        <v>0</v>
      </c>
      <c r="AK11" s="11">
        <v>1082.8463271181902</v>
      </c>
      <c r="AL11" s="38">
        <v>991818.28677399061</v>
      </c>
      <c r="AM11" s="11">
        <v>384.25705189358968</v>
      </c>
      <c r="AN11" s="10">
        <v>642.99981670214027</v>
      </c>
      <c r="AO11" s="41">
        <v>959817.97363109037</v>
      </c>
      <c r="AP11" s="12">
        <v>120.22903331817324</v>
      </c>
      <c r="AQ11" s="11">
        <v>448.69999999999379</v>
      </c>
      <c r="AR11" s="41">
        <v>705827.50328463491</v>
      </c>
      <c r="AS11" s="41">
        <v>46929.991813686589</v>
      </c>
      <c r="AT11" s="13">
        <v>27429.188282792151</v>
      </c>
      <c r="AU11" s="11">
        <v>78435.666666666672</v>
      </c>
      <c r="AV11" s="13">
        <v>165398.77677709551</v>
      </c>
    </row>
    <row r="12" spans="1:48" x14ac:dyDescent="0.25">
      <c r="A12" s="32">
        <f t="shared" si="0"/>
        <v>44377</v>
      </c>
      <c r="B12" s="10">
        <v>6499.9999999999964</v>
      </c>
      <c r="C12" s="11">
        <v>240.00000000000014</v>
      </c>
      <c r="D12" s="11">
        <v>77.900179166721244</v>
      </c>
      <c r="E12" s="11">
        <v>0</v>
      </c>
      <c r="F12" s="10">
        <v>6022.3326592881476</v>
      </c>
      <c r="G12" s="11">
        <v>112.9001791667209</v>
      </c>
      <c r="H12" s="11">
        <v>274.99999999999983</v>
      </c>
      <c r="I12" s="11">
        <v>312.22341187153597</v>
      </c>
      <c r="J12" s="12">
        <v>76.096403377464938</v>
      </c>
      <c r="K12" s="11">
        <v>9326.2077534495202</v>
      </c>
      <c r="L12" s="11">
        <v>36.999999999999986</v>
      </c>
      <c r="M12" s="11">
        <v>14.876033057851227</v>
      </c>
      <c r="N12" s="10">
        <v>7498.4616298831706</v>
      </c>
      <c r="O12" s="11">
        <v>207.87603305785112</v>
      </c>
      <c r="P12" s="11">
        <v>229.99999999999989</v>
      </c>
      <c r="Q12" s="11">
        <v>32.696509276644221</v>
      </c>
      <c r="R12" s="12">
        <v>0</v>
      </c>
      <c r="S12" s="11">
        <v>6753.0346360449112</v>
      </c>
      <c r="T12" s="75">
        <v>1386.8055555569747</v>
      </c>
      <c r="U12" s="75">
        <v>0</v>
      </c>
      <c r="V12" s="10">
        <v>7664.8248082861192</v>
      </c>
      <c r="W12" s="11">
        <v>57.999999999999986</v>
      </c>
      <c r="X12" s="12">
        <v>30.023205307811008</v>
      </c>
      <c r="Y12" s="11">
        <v>6053.2641570115393</v>
      </c>
      <c r="Z12" s="11">
        <v>125.61420530781133</v>
      </c>
      <c r="AA12" s="11">
        <v>175.00000000000028</v>
      </c>
      <c r="AB12" s="41">
        <v>20.826446280991714</v>
      </c>
      <c r="AC12" s="11">
        <v>0</v>
      </c>
      <c r="AD12" s="10">
        <v>3589.1211384124208</v>
      </c>
      <c r="AE12" s="11">
        <v>10741.132394783046</v>
      </c>
      <c r="AF12" s="11">
        <v>2010.3315193096344</v>
      </c>
      <c r="AG12" s="11">
        <v>2249.9999999999977</v>
      </c>
      <c r="AH12" s="11">
        <v>36.851740776295998</v>
      </c>
      <c r="AI12" s="11">
        <v>750.00000000029115</v>
      </c>
      <c r="AJ12" s="12">
        <v>0</v>
      </c>
      <c r="AK12" s="11">
        <v>1080.0446401427962</v>
      </c>
      <c r="AL12" s="38">
        <v>946335.24656200071</v>
      </c>
      <c r="AM12" s="11">
        <v>366.32376639501746</v>
      </c>
      <c r="AN12" s="10">
        <v>642.99981670213811</v>
      </c>
      <c r="AO12" s="41">
        <v>906125.33152387652</v>
      </c>
      <c r="AP12" s="12">
        <v>113.6132501347598</v>
      </c>
      <c r="AQ12" s="11">
        <v>448.69999999998726</v>
      </c>
      <c r="AR12" s="41">
        <v>718278.92435312679</v>
      </c>
      <c r="AS12" s="41">
        <v>47828.673018249829</v>
      </c>
      <c r="AT12" s="13">
        <v>27521.272227686328</v>
      </c>
      <c r="AU12" s="11">
        <v>75852.666666666672</v>
      </c>
      <c r="AV12" s="13">
        <v>94071.909431126624</v>
      </c>
    </row>
    <row r="13" spans="1:48" x14ac:dyDescent="0.25">
      <c r="A13" s="32">
        <f t="shared" si="0"/>
        <v>44408</v>
      </c>
      <c r="B13" s="10">
        <v>6505.4999999998909</v>
      </c>
      <c r="C13" s="11">
        <v>159.99999999999991</v>
      </c>
      <c r="D13" s="11">
        <v>114.57871750005035</v>
      </c>
      <c r="E13" s="11">
        <v>13.803239901137541</v>
      </c>
      <c r="F13" s="10">
        <v>6023.1454995608301</v>
      </c>
      <c r="G13" s="11">
        <v>134.57871750005026</v>
      </c>
      <c r="H13" s="11">
        <v>179.99999999999983</v>
      </c>
      <c r="I13" s="11">
        <v>91.128502899951499</v>
      </c>
      <c r="J13" s="12">
        <v>0</v>
      </c>
      <c r="K13" s="11">
        <v>9326.0170858960591</v>
      </c>
      <c r="L13" s="11">
        <v>14.999999999999998</v>
      </c>
      <c r="M13" s="11">
        <v>15.371900826446268</v>
      </c>
      <c r="N13" s="10">
        <v>7496.6763675073389</v>
      </c>
      <c r="O13" s="11">
        <v>90.371900826446492</v>
      </c>
      <c r="P13" s="11">
        <v>90.000000000000227</v>
      </c>
      <c r="Q13" s="11">
        <v>103.42717342222642</v>
      </c>
      <c r="R13" s="12">
        <v>0</v>
      </c>
      <c r="S13" s="11">
        <v>6753.0400000000018</v>
      </c>
      <c r="T13" s="75">
        <v>1922.8236323488388</v>
      </c>
      <c r="U13" s="75">
        <v>0</v>
      </c>
      <c r="V13" s="10">
        <v>7659.9449594887974</v>
      </c>
      <c r="W13" s="11">
        <v>24.000000000000014</v>
      </c>
      <c r="X13" s="12">
        <v>36.39463466158287</v>
      </c>
      <c r="Y13" s="11">
        <v>6050.6139352313185</v>
      </c>
      <c r="Z13" s="11">
        <v>51.226634661582871</v>
      </c>
      <c r="AA13" s="11">
        <v>40.000000000000014</v>
      </c>
      <c r="AB13" s="41">
        <v>21.520661157024769</v>
      </c>
      <c r="AC13" s="11">
        <v>0</v>
      </c>
      <c r="AD13" s="10">
        <v>3587.9662259861393</v>
      </c>
      <c r="AE13" s="11">
        <v>10637.399188897243</v>
      </c>
      <c r="AF13" s="11">
        <v>784.25298078983326</v>
      </c>
      <c r="AG13" s="11">
        <v>820.00000000000261</v>
      </c>
      <c r="AH13" s="11">
        <v>46.284840444279737</v>
      </c>
      <c r="AI13" s="11">
        <v>850.00000000373507</v>
      </c>
      <c r="AJ13" s="12">
        <v>0</v>
      </c>
      <c r="AK13" s="11">
        <v>1080.0720819780138</v>
      </c>
      <c r="AL13" s="38">
        <v>826237.79724167194</v>
      </c>
      <c r="AM13" s="11">
        <v>319.56316982235813</v>
      </c>
      <c r="AN13" s="10">
        <v>641.99704448085447</v>
      </c>
      <c r="AO13" s="41">
        <v>816363.80310672824</v>
      </c>
      <c r="AP13" s="12">
        <v>102.50296037301423</v>
      </c>
      <c r="AQ13" s="11">
        <v>447.99999999995981</v>
      </c>
      <c r="AR13" s="41">
        <v>693138.83758928091</v>
      </c>
      <c r="AS13" s="41">
        <v>45883.071378991299</v>
      </c>
      <c r="AT13" s="13">
        <v>28006.191350340112</v>
      </c>
      <c r="AU13" s="11">
        <v>78429.666666666672</v>
      </c>
      <c r="AV13" s="13">
        <v>46520.664533814088</v>
      </c>
    </row>
    <row r="14" spans="1:48" x14ac:dyDescent="0.25">
      <c r="A14" s="32">
        <f t="shared" si="0"/>
        <v>44439</v>
      </c>
      <c r="B14" s="10">
        <v>6500.8088673625007</v>
      </c>
      <c r="C14" s="11">
        <v>59.999999999999993</v>
      </c>
      <c r="D14" s="11">
        <v>94.325453390191257</v>
      </c>
      <c r="E14" s="11">
        <v>0</v>
      </c>
      <c r="F14" s="10">
        <v>6023.2175721807253</v>
      </c>
      <c r="G14" s="11">
        <v>104.32545339019158</v>
      </c>
      <c r="H14" s="11">
        <v>70.000000000000327</v>
      </c>
      <c r="I14" s="11">
        <v>89.569908123172524</v>
      </c>
      <c r="J14" s="12">
        <v>0</v>
      </c>
      <c r="K14" s="11">
        <v>9319.9999999999891</v>
      </c>
      <c r="L14" s="11">
        <v>8.0000000000000266</v>
      </c>
      <c r="M14" s="11">
        <v>19.340905537209672</v>
      </c>
      <c r="N14" s="10">
        <v>7492.3090727344252</v>
      </c>
      <c r="O14" s="11">
        <v>61.340905537209608</v>
      </c>
      <c r="P14" s="11">
        <v>49.999999999999964</v>
      </c>
      <c r="Q14" s="11">
        <v>95.112745160402383</v>
      </c>
      <c r="R14" s="12">
        <v>0</v>
      </c>
      <c r="S14" s="11">
        <v>6753.0400000000063</v>
      </c>
      <c r="T14" s="75">
        <v>1707.1236559143274</v>
      </c>
      <c r="U14" s="75">
        <v>0</v>
      </c>
      <c r="V14" s="10">
        <v>7651.9435508546785</v>
      </c>
      <c r="W14" s="11">
        <v>15.999999999999993</v>
      </c>
      <c r="X14" s="12">
        <v>35.802745618150865</v>
      </c>
      <c r="Y14" s="11">
        <v>6048.7477834166002</v>
      </c>
      <c r="Z14" s="11">
        <v>51.075745618150862</v>
      </c>
      <c r="AA14" s="11">
        <v>31.999999999999986</v>
      </c>
      <c r="AB14" s="41">
        <v>21.520661157024769</v>
      </c>
      <c r="AC14" s="11">
        <v>0</v>
      </c>
      <c r="AD14" s="10">
        <v>3583.173141277824</v>
      </c>
      <c r="AE14" s="11">
        <v>10213.815695829606</v>
      </c>
      <c r="AF14" s="11">
        <v>487.89851142897851</v>
      </c>
      <c r="AG14" s="11">
        <v>384.99999999999989</v>
      </c>
      <c r="AH14" s="11">
        <v>45.368684848194484</v>
      </c>
      <c r="AI14" s="11">
        <v>899.99999999775514</v>
      </c>
      <c r="AJ14" s="12">
        <v>0</v>
      </c>
      <c r="AK14" s="11">
        <v>1081.2718404896505</v>
      </c>
      <c r="AL14" s="38">
        <v>785253.5581199656</v>
      </c>
      <c r="AM14" s="11">
        <v>302.64677068418126</v>
      </c>
      <c r="AN14" s="10">
        <v>641.99704448068405</v>
      </c>
      <c r="AO14" s="41">
        <v>750383.23391947336</v>
      </c>
      <c r="AP14" s="12">
        <v>94.149351252923609</v>
      </c>
      <c r="AQ14" s="11">
        <v>447.50000000179955</v>
      </c>
      <c r="AR14" s="41">
        <v>623899.01913666667</v>
      </c>
      <c r="AS14" s="41">
        <v>40891.381242753145</v>
      </c>
      <c r="AT14" s="13">
        <v>28476.748756817717</v>
      </c>
      <c r="AU14" s="11">
        <v>78429.666666666672</v>
      </c>
      <c r="AV14" s="13">
        <v>46520.664533814088</v>
      </c>
    </row>
    <row r="15" spans="1:48" x14ac:dyDescent="0.25">
      <c r="A15" s="32">
        <f t="shared" si="0"/>
        <v>44469</v>
      </c>
      <c r="B15" s="10">
        <v>6497.6159264367107</v>
      </c>
      <c r="C15" s="11">
        <v>45.000000000000014</v>
      </c>
      <c r="D15" s="11">
        <v>67.036967278876602</v>
      </c>
      <c r="E15" s="11">
        <v>47.013232935851583</v>
      </c>
      <c r="F15" s="10">
        <v>6022.5907205873946</v>
      </c>
      <c r="G15" s="11">
        <v>75.036967278876631</v>
      </c>
      <c r="H15" s="11">
        <v>53.000000000000036</v>
      </c>
      <c r="I15" s="11">
        <v>88.053089076650195</v>
      </c>
      <c r="J15" s="12">
        <v>0</v>
      </c>
      <c r="K15" s="11">
        <v>9311.4999999999891</v>
      </c>
      <c r="L15" s="11">
        <v>5.9999999999999742</v>
      </c>
      <c r="M15" s="11">
        <v>20.638319999997922</v>
      </c>
      <c r="N15" s="10">
        <v>7488.182715931739</v>
      </c>
      <c r="O15" s="11">
        <v>47.638319999997954</v>
      </c>
      <c r="P15" s="11">
        <v>33.000000000000007</v>
      </c>
      <c r="Q15" s="11">
        <v>78.867000634786919</v>
      </c>
      <c r="R15" s="12">
        <v>0</v>
      </c>
      <c r="S15" s="11">
        <v>6753.036240751333</v>
      </c>
      <c r="T15" s="75">
        <v>1440.9722222222524</v>
      </c>
      <c r="U15" s="75">
        <v>33.936354875098509</v>
      </c>
      <c r="V15" s="10">
        <v>7645.949522760563</v>
      </c>
      <c r="W15" s="11">
        <v>13.999999999999998</v>
      </c>
      <c r="X15" s="12">
        <v>27.892574771764519</v>
      </c>
      <c r="Y15" s="11">
        <v>6048.4236855199124</v>
      </c>
      <c r="Z15" s="11">
        <v>45.661574771764528</v>
      </c>
      <c r="AA15" s="11">
        <v>33.000000000000007</v>
      </c>
      <c r="AB15" s="41">
        <v>20.826446280991714</v>
      </c>
      <c r="AC15" s="11">
        <v>0</v>
      </c>
      <c r="AD15" s="10">
        <v>3580.8213529306527</v>
      </c>
      <c r="AE15" s="11">
        <v>10010.062182405853</v>
      </c>
      <c r="AF15" s="11">
        <v>420.92233701053607</v>
      </c>
      <c r="AG15" s="11">
        <v>324.99999999999994</v>
      </c>
      <c r="AH15" s="11">
        <v>40.976126250286065</v>
      </c>
      <c r="AI15" s="11">
        <v>600.00000000039506</v>
      </c>
      <c r="AJ15" s="12">
        <v>0</v>
      </c>
      <c r="AK15" s="11">
        <v>1079.9088710388608</v>
      </c>
      <c r="AL15" s="38">
        <v>712380.49882016657</v>
      </c>
      <c r="AM15" s="11">
        <v>272.81067293596129</v>
      </c>
      <c r="AN15" s="10">
        <v>640.00753110685321</v>
      </c>
      <c r="AO15" s="41">
        <v>733393.2891375114</v>
      </c>
      <c r="AP15" s="12">
        <v>91.329986627097028</v>
      </c>
      <c r="AQ15" s="11">
        <v>447.49999999998084</v>
      </c>
      <c r="AR15" s="41">
        <v>530362.88653224008</v>
      </c>
      <c r="AS15" s="41">
        <v>34511.371866052883</v>
      </c>
      <c r="AT15" s="13">
        <v>24583.03405941138</v>
      </c>
      <c r="AU15" s="11">
        <v>60337.666666666679</v>
      </c>
      <c r="AV15" s="13">
        <v>134387.28557570648</v>
      </c>
    </row>
    <row r="16" spans="1:48" x14ac:dyDescent="0.25">
      <c r="A16" s="32">
        <f t="shared" si="0"/>
        <v>44500</v>
      </c>
      <c r="B16" s="10">
        <v>6494.1779851138035</v>
      </c>
      <c r="C16" s="11">
        <v>45.45000000000001</v>
      </c>
      <c r="D16" s="11">
        <v>68.966922348906095</v>
      </c>
      <c r="E16" s="11">
        <v>0</v>
      </c>
      <c r="F16" s="10">
        <v>6022.2149936061405</v>
      </c>
      <c r="G16" s="11">
        <v>79.496922348906125</v>
      </c>
      <c r="H16" s="11">
        <v>55.980000000000025</v>
      </c>
      <c r="I16" s="11">
        <v>86.665540301432642</v>
      </c>
      <c r="J16" s="12">
        <v>0</v>
      </c>
      <c r="K16" s="11">
        <v>9309.9999999999909</v>
      </c>
      <c r="L16" s="11">
        <v>5.8999999999999986</v>
      </c>
      <c r="M16" s="11">
        <v>8.3101799999972563</v>
      </c>
      <c r="N16" s="10">
        <v>7487.2708213433662</v>
      </c>
      <c r="O16" s="11">
        <v>37.280179999997294</v>
      </c>
      <c r="P16" s="11">
        <v>34.870000000000033</v>
      </c>
      <c r="Q16" s="11">
        <v>43.774377274050806</v>
      </c>
      <c r="R16" s="12">
        <v>0</v>
      </c>
      <c r="S16" s="11">
        <v>6753.0399999999981</v>
      </c>
      <c r="T16" s="75">
        <v>837.88512275038488</v>
      </c>
      <c r="U16" s="75">
        <v>0</v>
      </c>
      <c r="V16" s="10">
        <v>7644.952382303808</v>
      </c>
      <c r="W16" s="11">
        <v>12.01</v>
      </c>
      <c r="X16" s="12">
        <v>14.080114613764161</v>
      </c>
      <c r="Y16" s="11">
        <v>6048.9955860476593</v>
      </c>
      <c r="Z16" s="11">
        <v>38.99211461376418</v>
      </c>
      <c r="AA16" s="11">
        <v>37.670000000000016</v>
      </c>
      <c r="AB16" s="41">
        <v>21.520661157024769</v>
      </c>
      <c r="AC16" s="11">
        <v>0</v>
      </c>
      <c r="AD16" s="10">
        <v>3580.2750616475369</v>
      </c>
      <c r="AE16" s="11">
        <v>9963.1175461496769</v>
      </c>
      <c r="AF16" s="11">
        <v>457.44774950195193</v>
      </c>
      <c r="AG16" s="11">
        <v>424.10999999999984</v>
      </c>
      <c r="AH16" s="11">
        <v>28.147955493526137</v>
      </c>
      <c r="AI16" s="11">
        <v>480.00000000015393</v>
      </c>
      <c r="AJ16" s="12">
        <v>0</v>
      </c>
      <c r="AK16" s="11">
        <v>1079.5614340178602</v>
      </c>
      <c r="AL16" s="38">
        <v>519706.02614871401</v>
      </c>
      <c r="AM16" s="11">
        <v>201.2565271214979</v>
      </c>
      <c r="AN16" s="10">
        <v>632.99732935379745</v>
      </c>
      <c r="AO16" s="41">
        <v>677775.01070265891</v>
      </c>
      <c r="AP16" s="12">
        <v>81.966475498301833</v>
      </c>
      <c r="AQ16" s="11">
        <v>447.49999999999972</v>
      </c>
      <c r="AR16" s="41">
        <v>470553.67232799844</v>
      </c>
      <c r="AS16" s="41">
        <v>30973.528849910759</v>
      </c>
      <c r="AT16" s="13">
        <v>23522.801482877432</v>
      </c>
      <c r="AU16" s="11">
        <v>46385.666666666693</v>
      </c>
      <c r="AV16" s="13">
        <v>166432.34728955041</v>
      </c>
    </row>
    <row r="17" spans="1:48" x14ac:dyDescent="0.25">
      <c r="A17" s="32">
        <f t="shared" si="0"/>
        <v>44530</v>
      </c>
      <c r="B17" s="10">
        <v>6490.7168507182887</v>
      </c>
      <c r="C17" s="11">
        <v>43.560000000000024</v>
      </c>
      <c r="D17" s="11">
        <v>66.742182918296223</v>
      </c>
      <c r="E17" s="11">
        <v>0</v>
      </c>
      <c r="F17" s="10">
        <v>6021.8184472657695</v>
      </c>
      <c r="G17" s="11">
        <v>74.042182918296177</v>
      </c>
      <c r="H17" s="11">
        <v>50.859999999999964</v>
      </c>
      <c r="I17" s="11">
        <v>85.601088772241283</v>
      </c>
      <c r="J17" s="12">
        <v>0</v>
      </c>
      <c r="K17" s="11">
        <v>9308.4999999999891</v>
      </c>
      <c r="L17" s="11">
        <v>4.8000000000000025</v>
      </c>
      <c r="M17" s="11">
        <v>7.1583200000020124</v>
      </c>
      <c r="N17" s="10">
        <v>7489.469029121311</v>
      </c>
      <c r="O17" s="11">
        <v>32.308320000001984</v>
      </c>
      <c r="P17" s="11">
        <v>29.949999999999974</v>
      </c>
      <c r="Q17" s="11">
        <v>15.152250639497288</v>
      </c>
      <c r="R17" s="12">
        <v>0</v>
      </c>
      <c r="S17" s="11">
        <v>6753.0390355238069</v>
      </c>
      <c r="T17" s="75">
        <v>361.66666666665952</v>
      </c>
      <c r="U17" s="75">
        <v>0</v>
      </c>
      <c r="V17" s="10">
        <v>7645.9544531341562</v>
      </c>
      <c r="W17" s="11">
        <v>8.4500000000000242</v>
      </c>
      <c r="X17" s="12">
        <v>6.0545479000058684</v>
      </c>
      <c r="Y17" s="11">
        <v>6049.1790688057563</v>
      </c>
      <c r="Z17" s="11">
        <v>23.852547900005852</v>
      </c>
      <c r="AA17" s="11">
        <v>26.270000000000003</v>
      </c>
      <c r="AB17" s="41">
        <v>20.826446280991714</v>
      </c>
      <c r="AC17" s="11">
        <v>0</v>
      </c>
      <c r="AD17" s="10">
        <v>3579.4550114161634</v>
      </c>
      <c r="AE17" s="11">
        <v>9892.9199834483061</v>
      </c>
      <c r="AF17" s="11">
        <v>451.42219621025748</v>
      </c>
      <c r="AG17" s="11">
        <v>436.88000000000011</v>
      </c>
      <c r="AH17" s="11">
        <v>27.235562194756636</v>
      </c>
      <c r="AI17" s="11">
        <v>500.00000000019423</v>
      </c>
      <c r="AJ17" s="12">
        <v>0</v>
      </c>
      <c r="AK17" s="11">
        <v>1078.0928208359217</v>
      </c>
      <c r="AL17" s="38">
        <v>638366.66793261969</v>
      </c>
      <c r="AM17" s="11">
        <v>250.26184334212019</v>
      </c>
      <c r="AN17" s="10">
        <v>634.99500232453511</v>
      </c>
      <c r="AO17" s="41">
        <v>558205.91425129969</v>
      </c>
      <c r="AP17" s="12">
        <v>66.586383910184466</v>
      </c>
      <c r="AQ17" s="11">
        <v>447.49999999999352</v>
      </c>
      <c r="AR17" s="41">
        <v>355284.46125512104</v>
      </c>
      <c r="AS17" s="41">
        <v>23088.800533918995</v>
      </c>
      <c r="AT17" s="13">
        <v>16775.329300585305</v>
      </c>
      <c r="AU17" s="11">
        <v>44828.666666666679</v>
      </c>
      <c r="AV17" s="13">
        <v>160230.04904927261</v>
      </c>
    </row>
    <row r="18" spans="1:48" x14ac:dyDescent="0.25">
      <c r="A18" s="32">
        <f t="shared" si="0"/>
        <v>44561</v>
      </c>
      <c r="B18" s="10">
        <v>6485.0144010004533</v>
      </c>
      <c r="C18" s="11">
        <v>32.799999999999976</v>
      </c>
      <c r="D18" s="11">
        <v>68.966922348906095</v>
      </c>
      <c r="E18" s="11">
        <v>0</v>
      </c>
      <c r="F18" s="10">
        <v>6021.3502756286862</v>
      </c>
      <c r="G18" s="11">
        <v>69.266922348906121</v>
      </c>
      <c r="H18" s="11">
        <v>33.100000000000009</v>
      </c>
      <c r="I18" s="11">
        <v>85.060677469918218</v>
      </c>
      <c r="J18" s="12">
        <v>0</v>
      </c>
      <c r="K18" s="11">
        <v>9308.4999999999891</v>
      </c>
      <c r="L18" s="11">
        <v>4.6999999999999975</v>
      </c>
      <c r="M18" s="11">
        <v>4.6999999999999975</v>
      </c>
      <c r="N18" s="10">
        <v>7489.9999999999927</v>
      </c>
      <c r="O18" s="11">
        <v>26.499999999999975</v>
      </c>
      <c r="P18" s="11">
        <v>26.499999999999975</v>
      </c>
      <c r="Q18" s="11">
        <v>22.197582302090034</v>
      </c>
      <c r="R18" s="12">
        <v>0</v>
      </c>
      <c r="S18" s="11">
        <v>6753.0400000000072</v>
      </c>
      <c r="T18" s="75">
        <v>464.67095964207681</v>
      </c>
      <c r="U18" s="75">
        <v>0</v>
      </c>
      <c r="V18" s="10">
        <v>7647.4534781160201</v>
      </c>
      <c r="W18" s="11">
        <v>6.9000000000000021</v>
      </c>
      <c r="X18" s="12">
        <v>3.3462262548365453</v>
      </c>
      <c r="Y18" s="11">
        <v>6049.1269554709188</v>
      </c>
      <c r="Z18" s="11">
        <v>21.50022625483653</v>
      </c>
      <c r="AA18" s="11">
        <v>25.099999999999987</v>
      </c>
      <c r="AB18" s="41">
        <v>21.520661157024769</v>
      </c>
      <c r="AC18" s="11">
        <v>0</v>
      </c>
      <c r="AD18" s="10">
        <v>3577.1250086985688</v>
      </c>
      <c r="AE18" s="11">
        <v>9695.2450831745482</v>
      </c>
      <c r="AF18" s="11">
        <v>408.09884226113371</v>
      </c>
      <c r="AG18" s="11">
        <v>364.00000000000028</v>
      </c>
      <c r="AH18" s="11">
        <v>21.587729755857271</v>
      </c>
      <c r="AI18" s="11">
        <v>600.00000000039506</v>
      </c>
      <c r="AJ18" s="12">
        <v>0</v>
      </c>
      <c r="AK18" s="11">
        <v>1079.6808745469812</v>
      </c>
      <c r="AL18" s="38">
        <v>475865.27469583426</v>
      </c>
      <c r="AM18" s="11">
        <v>183.05842377980616</v>
      </c>
      <c r="AN18" s="10">
        <v>639.50562092495261</v>
      </c>
      <c r="AO18" s="41">
        <v>336151.08734229801</v>
      </c>
      <c r="AP18" s="12">
        <v>41.619479139363349</v>
      </c>
      <c r="AQ18" s="11">
        <v>446.50000000010533</v>
      </c>
      <c r="AR18" s="41">
        <v>236863.44934559093</v>
      </c>
      <c r="AS18" s="41">
        <v>14675.7187675309</v>
      </c>
      <c r="AT18" s="13">
        <v>12222.665272743527</v>
      </c>
      <c r="AU18" s="11">
        <v>46309.666666666701</v>
      </c>
      <c r="AV18" s="13">
        <v>82700.008297477732</v>
      </c>
    </row>
    <row r="19" spans="1:48" x14ac:dyDescent="0.25">
      <c r="A19" s="32">
        <f t="shared" si="0"/>
        <v>44592</v>
      </c>
      <c r="B19" s="10">
        <v>6478.1986775385094</v>
      </c>
      <c r="C19" s="11">
        <v>31.100000000000019</v>
      </c>
      <c r="D19" s="11">
        <v>68.966922348906095</v>
      </c>
      <c r="E19" s="11">
        <v>0</v>
      </c>
      <c r="F19" s="10">
        <v>6021.6455037823198</v>
      </c>
      <c r="G19" s="11">
        <v>77.966922348906053</v>
      </c>
      <c r="H19" s="11">
        <v>40.099999999999973</v>
      </c>
      <c r="I19" s="11">
        <v>65.331404958677609</v>
      </c>
      <c r="J19" s="12">
        <v>0</v>
      </c>
      <c r="K19" s="11">
        <v>9308.2993220707776</v>
      </c>
      <c r="L19" s="11">
        <v>4.2999999999999989</v>
      </c>
      <c r="M19" s="11">
        <v>4.6115702479338809</v>
      </c>
      <c r="N19" s="10">
        <v>7486.9999999999909</v>
      </c>
      <c r="O19" s="11">
        <v>25.211570247933867</v>
      </c>
      <c r="P19" s="11">
        <v>24.899999999999984</v>
      </c>
      <c r="Q19" s="11">
        <v>48.153320393206272</v>
      </c>
      <c r="R19" s="12">
        <v>0</v>
      </c>
      <c r="S19" s="11">
        <v>6753.0399999999763</v>
      </c>
      <c r="T19" s="75">
        <v>881.93866060238634</v>
      </c>
      <c r="U19" s="75">
        <v>0</v>
      </c>
      <c r="V19" s="10">
        <v>7647.4528923996859</v>
      </c>
      <c r="W19" s="11">
        <v>5.6999999999999993</v>
      </c>
      <c r="X19" s="12">
        <v>5.6239177558473941</v>
      </c>
      <c r="Y19" s="11">
        <v>6049.0685301809144</v>
      </c>
      <c r="Z19" s="11">
        <v>21.423917755847398</v>
      </c>
      <c r="AA19" s="11">
        <v>21.5</v>
      </c>
      <c r="AB19" s="41">
        <v>21.520661157024769</v>
      </c>
      <c r="AC19" s="11">
        <v>0</v>
      </c>
      <c r="AD19" s="10">
        <v>3573.5409078809139</v>
      </c>
      <c r="AE19" s="11">
        <v>9396.3070073958643</v>
      </c>
      <c r="AF19" s="11">
        <v>403.58036061885724</v>
      </c>
      <c r="AG19" s="11">
        <v>355.09999999999991</v>
      </c>
      <c r="AH19" s="11">
        <v>6.4334755209475913</v>
      </c>
      <c r="AI19" s="11">
        <v>719.9999999998256</v>
      </c>
      <c r="AJ19" s="12">
        <v>0</v>
      </c>
      <c r="AK19" s="11">
        <v>1082.5619861055723</v>
      </c>
      <c r="AL19" s="38">
        <v>518438.79017412144</v>
      </c>
      <c r="AM19" s="11">
        <v>201.41671409877625</v>
      </c>
      <c r="AN19" s="10">
        <v>641.7975469189879</v>
      </c>
      <c r="AO19" s="41">
        <v>425881.90751203947</v>
      </c>
      <c r="AP19" s="12">
        <v>53.769630227599173</v>
      </c>
      <c r="AQ19" s="11">
        <v>446.49999999999773</v>
      </c>
      <c r="AR19" s="41">
        <v>255503.56997180096</v>
      </c>
      <c r="AS19" s="41">
        <v>16007.025912307832</v>
      </c>
      <c r="AT19" s="13">
        <v>10989.576004346834</v>
      </c>
      <c r="AU19" s="11">
        <v>89889.333333333372</v>
      </c>
      <c r="AV19" s="13">
        <v>89647.311662690394</v>
      </c>
    </row>
    <row r="20" spans="1:48" x14ac:dyDescent="0.25">
      <c r="A20" s="32">
        <f t="shared" si="0"/>
        <v>44620</v>
      </c>
      <c r="B20" s="10">
        <v>6470.9494009246528</v>
      </c>
      <c r="C20" s="11">
        <v>28.499999999999979</v>
      </c>
      <c r="D20" s="11">
        <v>62.29270405707647</v>
      </c>
      <c r="E20" s="11">
        <v>0</v>
      </c>
      <c r="F20" s="10">
        <v>6022.080420019528</v>
      </c>
      <c r="G20" s="11">
        <v>77.392704057076529</v>
      </c>
      <c r="H20" s="11">
        <v>43.600000000000023</v>
      </c>
      <c r="I20" s="11">
        <v>59.105785123966875</v>
      </c>
      <c r="J20" s="12">
        <v>0</v>
      </c>
      <c r="K20" s="11">
        <v>9307.9999999999891</v>
      </c>
      <c r="L20" s="11">
        <v>3.9000000000000021</v>
      </c>
      <c r="M20" s="11">
        <v>4.3630097520659774</v>
      </c>
      <c r="N20" s="10">
        <v>7484.99999999999</v>
      </c>
      <c r="O20" s="11">
        <v>23.26300975206599</v>
      </c>
      <c r="P20" s="11">
        <v>22.800000000000018</v>
      </c>
      <c r="Q20" s="11">
        <v>38.218657327381131</v>
      </c>
      <c r="R20" s="12">
        <v>0</v>
      </c>
      <c r="S20" s="11">
        <v>6753.0372994301733</v>
      </c>
      <c r="T20" s="75">
        <v>793.90295606471011</v>
      </c>
      <c r="U20" s="75">
        <v>0</v>
      </c>
      <c r="V20" s="10">
        <v>7647.4528969748117</v>
      </c>
      <c r="W20" s="11">
        <v>5.2</v>
      </c>
      <c r="X20" s="12">
        <v>5.1028811812754107</v>
      </c>
      <c r="Y20" s="11">
        <v>6049.8543666396154</v>
      </c>
      <c r="Z20" s="11">
        <v>29.513881181275426</v>
      </c>
      <c r="AA20" s="11">
        <v>29.900000000000013</v>
      </c>
      <c r="AB20" s="41">
        <v>19.438016528925601</v>
      </c>
      <c r="AC20" s="11">
        <v>0</v>
      </c>
      <c r="AD20" s="10">
        <v>3570.9798525210545</v>
      </c>
      <c r="AE20" s="11">
        <v>9186.5084803066056</v>
      </c>
      <c r="AF20" s="11">
        <v>420.16994103103207</v>
      </c>
      <c r="AG20" s="11">
        <v>399.30000000000041</v>
      </c>
      <c r="AH20" s="11">
        <v>6.7523454032875962</v>
      </c>
      <c r="AI20" s="11">
        <v>639.99999999966474</v>
      </c>
      <c r="AJ20" s="12">
        <v>0</v>
      </c>
      <c r="AK20" s="11">
        <v>1084.6056081405793</v>
      </c>
      <c r="AL20" s="38">
        <v>519558.04999459744</v>
      </c>
      <c r="AM20" s="11">
        <v>198.35363397608808</v>
      </c>
      <c r="AN20" s="10">
        <v>641.79754691899575</v>
      </c>
      <c r="AO20" s="41">
        <v>499492.13595028344</v>
      </c>
      <c r="AP20" s="12">
        <v>63.167488013502613</v>
      </c>
      <c r="AQ20" s="11">
        <v>446.49999999999812</v>
      </c>
      <c r="AR20" s="41">
        <v>393876.47991897934</v>
      </c>
      <c r="AS20" s="41">
        <v>25558.567301981901</v>
      </c>
      <c r="AT20" s="13">
        <v>11073.016678932272</v>
      </c>
      <c r="AU20" s="11">
        <v>16677.33333333339</v>
      </c>
      <c r="AV20" s="13">
        <v>84434.987566525961</v>
      </c>
    </row>
    <row r="21" spans="1:48" x14ac:dyDescent="0.25">
      <c r="A21" s="32">
        <f t="shared" si="0"/>
        <v>44651</v>
      </c>
      <c r="B21" s="10">
        <v>6467.0158630143987</v>
      </c>
      <c r="C21" s="11">
        <v>53.099999999999987</v>
      </c>
      <c r="D21" s="11">
        <v>68.966922348906095</v>
      </c>
      <c r="E21" s="11">
        <v>0</v>
      </c>
      <c r="F21" s="10">
        <v>6023.6363626691118</v>
      </c>
      <c r="G21" s="11">
        <v>110.76692234890609</v>
      </c>
      <c r="H21" s="11">
        <v>94.899999999999991</v>
      </c>
      <c r="I21" s="11">
        <v>49.190082644628063</v>
      </c>
      <c r="J21" s="12">
        <v>0</v>
      </c>
      <c r="K21" s="11">
        <v>9306.4999999999909</v>
      </c>
      <c r="L21" s="11">
        <v>4.4999999999999982</v>
      </c>
      <c r="M21" s="11">
        <v>6.7891699999973962</v>
      </c>
      <c r="N21" s="10">
        <v>7484.4999999999891</v>
      </c>
      <c r="O21" s="11">
        <v>39.589169999997381</v>
      </c>
      <c r="P21" s="11">
        <v>37.299999999999983</v>
      </c>
      <c r="Q21" s="11">
        <v>42.929895157489881</v>
      </c>
      <c r="R21" s="12">
        <v>0</v>
      </c>
      <c r="S21" s="11">
        <v>6753.0400000001928</v>
      </c>
      <c r="T21" s="75">
        <v>856.53062213957719</v>
      </c>
      <c r="U21" s="75">
        <v>0</v>
      </c>
      <c r="V21" s="10">
        <v>7647.9494461700497</v>
      </c>
      <c r="W21" s="11">
        <v>9.2999999999999883</v>
      </c>
      <c r="X21" s="12">
        <v>7.93875081569833</v>
      </c>
      <c r="Y21" s="11">
        <v>6054.6008732282635</v>
      </c>
      <c r="Z21" s="11">
        <v>85.495750815698557</v>
      </c>
      <c r="AA21" s="11">
        <v>96.000000000000199</v>
      </c>
      <c r="AB21" s="41">
        <v>21.520661157024769</v>
      </c>
      <c r="AC21" s="11">
        <v>0</v>
      </c>
      <c r="AD21" s="10">
        <v>3569.4527029572664</v>
      </c>
      <c r="AE21" s="11">
        <v>9062.9183990205529</v>
      </c>
      <c r="AF21" s="11">
        <v>552.90375891502958</v>
      </c>
      <c r="AG21" s="11">
        <v>652.70000000000141</v>
      </c>
      <c r="AH21" s="11">
        <v>11.381043770996248</v>
      </c>
      <c r="AI21" s="11">
        <v>675.00000000034333</v>
      </c>
      <c r="AJ21" s="12">
        <v>0</v>
      </c>
      <c r="AK21" s="11">
        <v>1081.8135753566924</v>
      </c>
      <c r="AL21" s="38">
        <v>969164.80256729806</v>
      </c>
      <c r="AM21" s="11">
        <v>386.56421692506945</v>
      </c>
      <c r="AN21" s="10">
        <v>643.05459791104886</v>
      </c>
      <c r="AO21" s="41">
        <v>910242.22834545432</v>
      </c>
      <c r="AP21" s="12">
        <v>113.77971413343536</v>
      </c>
      <c r="AQ21" s="11">
        <v>446.69999999993462</v>
      </c>
      <c r="AR21" s="41">
        <v>639541.26349244383</v>
      </c>
      <c r="AS21" s="41">
        <v>41413.333178136993</v>
      </c>
      <c r="AT21" s="13">
        <v>15446.186350099382</v>
      </c>
      <c r="AU21" s="11">
        <v>85417.333333333372</v>
      </c>
      <c r="AV21" s="13">
        <v>168871.81377316936</v>
      </c>
    </row>
    <row r="22" spans="1:48" x14ac:dyDescent="0.25">
      <c r="A22" s="32">
        <f t="shared" si="0"/>
        <v>44681</v>
      </c>
      <c r="B22" s="10">
        <v>6465.0000000000064</v>
      </c>
      <c r="C22" s="11">
        <v>82.400000000000063</v>
      </c>
      <c r="D22" s="11">
        <v>89.642939039622789</v>
      </c>
      <c r="E22" s="11">
        <v>0</v>
      </c>
      <c r="F22" s="10">
        <v>6025.7294673251354</v>
      </c>
      <c r="G22" s="11">
        <v>132.54293903962252</v>
      </c>
      <c r="H22" s="11">
        <v>125.2999999999998</v>
      </c>
      <c r="I22" s="11">
        <v>47.603305785123915</v>
      </c>
      <c r="J22" s="12">
        <v>0</v>
      </c>
      <c r="K22" s="11">
        <v>9305.9999999999909</v>
      </c>
      <c r="L22" s="11">
        <v>8.9999999999999911</v>
      </c>
      <c r="M22" s="11">
        <v>9.7515299999998959</v>
      </c>
      <c r="N22" s="10">
        <v>7489.3126861811807</v>
      </c>
      <c r="O22" s="11">
        <v>78.851529999999912</v>
      </c>
      <c r="P22" s="11">
        <v>78.099999999999994</v>
      </c>
      <c r="Q22" s="11">
        <v>41.41964153562067</v>
      </c>
      <c r="R22" s="12">
        <v>0</v>
      </c>
      <c r="S22" s="11">
        <v>6753.0369792800257</v>
      </c>
      <c r="T22" s="75">
        <v>1067.5000000002517</v>
      </c>
      <c r="U22" s="75">
        <v>0</v>
      </c>
      <c r="V22" s="10">
        <v>7655.9571724541802</v>
      </c>
      <c r="W22" s="11">
        <v>22.900000000000023</v>
      </c>
      <c r="X22" s="12">
        <v>3.0005024544361523</v>
      </c>
      <c r="Y22" s="11">
        <v>6060.1735131361283</v>
      </c>
      <c r="Z22" s="11">
        <v>114.47550245443621</v>
      </c>
      <c r="AA22" s="11">
        <v>152.40000000000006</v>
      </c>
      <c r="AB22" s="41">
        <v>20.826446280991714</v>
      </c>
      <c r="AC22" s="11">
        <v>0</v>
      </c>
      <c r="AD22" s="10">
        <v>3570.8368059577519</v>
      </c>
      <c r="AE22" s="11">
        <v>9174.8841340615618</v>
      </c>
      <c r="AF22" s="11">
        <v>739.10541322315669</v>
      </c>
      <c r="AG22" s="11">
        <v>945.30000000000109</v>
      </c>
      <c r="AH22" s="11">
        <v>18.18242210332042</v>
      </c>
      <c r="AI22" s="11">
        <v>600.00000000039506</v>
      </c>
      <c r="AJ22" s="12">
        <v>0</v>
      </c>
      <c r="AK22" s="11">
        <v>1076.9931510709584</v>
      </c>
      <c r="AL22" s="38">
        <v>1033634.2182248896</v>
      </c>
      <c r="AM22" s="11">
        <v>408.47502818284545</v>
      </c>
      <c r="AN22" s="10">
        <v>642.99981670142893</v>
      </c>
      <c r="AO22" s="41">
        <v>1005938.3996166778</v>
      </c>
      <c r="AP22" s="12">
        <v>125.64255644156852</v>
      </c>
      <c r="AQ22" s="11">
        <v>448.69999999886124</v>
      </c>
      <c r="AR22" s="41">
        <v>709547.93267056812</v>
      </c>
      <c r="AS22" s="41">
        <v>46703.99231300933</v>
      </c>
      <c r="AT22" s="13">
        <v>21878.14487630079</v>
      </c>
      <c r="AU22" s="11">
        <v>82479.333333333358</v>
      </c>
      <c r="AV22" s="13">
        <v>162617.20136722334</v>
      </c>
    </row>
    <row r="23" spans="1:48" x14ac:dyDescent="0.25">
      <c r="A23" s="32">
        <f t="shared" si="0"/>
        <v>44712</v>
      </c>
      <c r="B23" s="10">
        <v>6480.00000000001</v>
      </c>
      <c r="C23" s="11">
        <v>168.79999999999978</v>
      </c>
      <c r="D23" s="11">
        <v>99.848187500154424</v>
      </c>
      <c r="E23" s="11">
        <v>2.9152791587277784</v>
      </c>
      <c r="F23" s="10">
        <v>6028.7367350694449</v>
      </c>
      <c r="G23" s="11">
        <v>177.24818750015459</v>
      </c>
      <c r="H23" s="11">
        <v>246.19999999999996</v>
      </c>
      <c r="I23" s="11">
        <v>51.702479338838238</v>
      </c>
      <c r="J23" s="12">
        <v>0</v>
      </c>
      <c r="K23" s="11">
        <v>9315.4999999999891</v>
      </c>
      <c r="L23" s="11">
        <v>26.899999999999977</v>
      </c>
      <c r="M23" s="11">
        <v>11.635520000004487</v>
      </c>
      <c r="N23" s="10">
        <v>7495.0000000002728</v>
      </c>
      <c r="O23" s="11">
        <v>183.6355200000047</v>
      </c>
      <c r="P23" s="11">
        <v>198.90000000000018</v>
      </c>
      <c r="Q23" s="11">
        <v>137.80420393414045</v>
      </c>
      <c r="R23" s="12">
        <v>0</v>
      </c>
      <c r="S23" s="11">
        <v>6753.0400000000018</v>
      </c>
      <c r="T23" s="75">
        <v>3012.9031292183709</v>
      </c>
      <c r="U23" s="75">
        <v>51.057797741182952</v>
      </c>
      <c r="V23" s="10">
        <v>7662.9520251354215</v>
      </c>
      <c r="W23" s="11">
        <v>68.900000000000105</v>
      </c>
      <c r="X23" s="12">
        <v>50.210022200979566</v>
      </c>
      <c r="Y23" s="11">
        <v>6068.7990056322515</v>
      </c>
      <c r="Z23" s="11">
        <v>212.60302220097978</v>
      </c>
      <c r="AA23" s="11">
        <v>266.40000000000032</v>
      </c>
      <c r="AB23" s="41">
        <v>58.115702479338793</v>
      </c>
      <c r="AC23" s="11">
        <v>0</v>
      </c>
      <c r="AD23" s="10">
        <v>3583.9820040896211</v>
      </c>
      <c r="AE23" s="11">
        <v>10284.514797596412</v>
      </c>
      <c r="AF23" s="11">
        <v>1821.1003742263142</v>
      </c>
      <c r="AG23" s="11">
        <v>2213.1999999999998</v>
      </c>
      <c r="AH23" s="11">
        <v>22.699255400042929</v>
      </c>
      <c r="AI23" s="11">
        <v>600.00000000039506</v>
      </c>
      <c r="AJ23" s="12">
        <v>0</v>
      </c>
      <c r="AK23" s="11">
        <v>1072.1508263375565</v>
      </c>
      <c r="AL23" s="38">
        <v>994960.44960355083</v>
      </c>
      <c r="AM23" s="11">
        <v>376.81673109770963</v>
      </c>
      <c r="AN23" s="10">
        <v>642.99981670214027</v>
      </c>
      <c r="AO23" s="41">
        <v>962960.13646065036</v>
      </c>
      <c r="AP23" s="12">
        <v>120.60932765188559</v>
      </c>
      <c r="AQ23" s="11">
        <v>448.69999999999379</v>
      </c>
      <c r="AR23" s="41">
        <v>707637.50328463479</v>
      </c>
      <c r="AS23" s="41">
        <v>47053.975707171332</v>
      </c>
      <c r="AT23" s="13">
        <v>28517.387604630199</v>
      </c>
      <c r="AU23" s="11">
        <v>74209.333333333343</v>
      </c>
      <c r="AV23" s="13">
        <v>170957.27293998894</v>
      </c>
    </row>
    <row r="24" spans="1:48" x14ac:dyDescent="0.25">
      <c r="A24" s="32">
        <f t="shared" si="0"/>
        <v>44742</v>
      </c>
      <c r="B24" s="10">
        <v>6499.9999999987012</v>
      </c>
      <c r="C24" s="11">
        <v>278.00000000000006</v>
      </c>
      <c r="D24" s="11">
        <v>143.82527000022023</v>
      </c>
      <c r="E24" s="11">
        <v>41.607063657534901</v>
      </c>
      <c r="F24" s="10">
        <v>6024.9572304867379</v>
      </c>
      <c r="G24" s="11">
        <v>225.72527000022015</v>
      </c>
      <c r="H24" s="11">
        <v>359.89999999999992</v>
      </c>
      <c r="I24" s="11">
        <v>363.0257580479464</v>
      </c>
      <c r="J24" s="12">
        <v>81.334904501121287</v>
      </c>
      <c r="K24" s="11">
        <v>9327.9999999999891</v>
      </c>
      <c r="L24" s="11">
        <v>42.100000000000023</v>
      </c>
      <c r="M24" s="11">
        <v>18.895980000002886</v>
      </c>
      <c r="N24" s="10">
        <v>7516.3999999999924</v>
      </c>
      <c r="O24" s="11">
        <v>238.49598000000267</v>
      </c>
      <c r="P24" s="11">
        <v>261.69999999999982</v>
      </c>
      <c r="Q24" s="11">
        <v>55.382171925510413</v>
      </c>
      <c r="R24" s="12">
        <v>0</v>
      </c>
      <c r="S24" s="11">
        <v>6753.0346360449112</v>
      </c>
      <c r="T24" s="75">
        <v>1763.009052850427</v>
      </c>
      <c r="U24" s="75">
        <v>0</v>
      </c>
      <c r="V24" s="10">
        <v>7664.7947840657498</v>
      </c>
      <c r="W24" s="11">
        <v>67.699999999999875</v>
      </c>
      <c r="X24" s="12">
        <v>62.136150850563645</v>
      </c>
      <c r="Y24" s="11">
        <v>6068.5221263412332</v>
      </c>
      <c r="Z24" s="11">
        <v>179.90315085056355</v>
      </c>
      <c r="AA24" s="11">
        <v>212.39999999999981</v>
      </c>
      <c r="AB24" s="41">
        <v>125.4262700534063</v>
      </c>
      <c r="AC24" s="11">
        <v>0</v>
      </c>
      <c r="AD24" s="10">
        <v>3601.2804934819692</v>
      </c>
      <c r="AE24" s="11">
        <v>11872.649978919868</v>
      </c>
      <c r="AF24" s="11">
        <v>2384.8563519073268</v>
      </c>
      <c r="AG24" s="11">
        <v>2594.4999999999982</v>
      </c>
      <c r="AH24" s="11">
        <v>39.670352764240675</v>
      </c>
      <c r="AI24" s="11">
        <v>630.00000000005002</v>
      </c>
      <c r="AJ24" s="12">
        <v>0</v>
      </c>
      <c r="AK24" s="11">
        <v>1067.7763385858593</v>
      </c>
      <c r="AL24" s="38">
        <v>949027.79279552214</v>
      </c>
      <c r="AM24" s="11">
        <v>357.51423992711824</v>
      </c>
      <c r="AN24" s="10">
        <v>642.99981670213811</v>
      </c>
      <c r="AO24" s="41">
        <v>908817.87775739795</v>
      </c>
      <c r="AP24" s="12">
        <v>113.93973637719795</v>
      </c>
      <c r="AQ24" s="11">
        <v>448.69999999998726</v>
      </c>
      <c r="AR24" s="41">
        <v>720233.92435312679</v>
      </c>
      <c r="AS24" s="41">
        <v>47962.589323092041</v>
      </c>
      <c r="AT24" s="13">
        <v>28613.124799680852</v>
      </c>
      <c r="AU24" s="11">
        <v>71633.333333333358</v>
      </c>
      <c r="AV24" s="13">
        <v>99028.788997981261</v>
      </c>
    </row>
    <row r="25" spans="1:48" x14ac:dyDescent="0.25">
      <c r="A25" s="32">
        <f t="shared" si="0"/>
        <v>44773</v>
      </c>
      <c r="B25" s="10">
        <v>6505.4999999998909</v>
      </c>
      <c r="C25" s="11">
        <v>163.49999999999977</v>
      </c>
      <c r="D25" s="11">
        <v>118.07871748026544</v>
      </c>
      <c r="E25" s="11">
        <v>17.303239880742851</v>
      </c>
      <c r="F25" s="10">
        <v>6025.6851900195834</v>
      </c>
      <c r="G25" s="11">
        <v>138.97871748026571</v>
      </c>
      <c r="H25" s="11">
        <v>184.40000000000006</v>
      </c>
      <c r="I25" s="11">
        <v>97.774785863948779</v>
      </c>
      <c r="J25" s="12">
        <v>0</v>
      </c>
      <c r="K25" s="11">
        <v>9326.4999999999909</v>
      </c>
      <c r="L25" s="11">
        <v>15.700000000000024</v>
      </c>
      <c r="M25" s="11">
        <v>18.662049999996764</v>
      </c>
      <c r="N25" s="10">
        <v>7516.3999999999924</v>
      </c>
      <c r="O25" s="11">
        <v>101.16204999999675</v>
      </c>
      <c r="P25" s="11">
        <v>98.2</v>
      </c>
      <c r="Q25" s="11">
        <v>99.57445255262968</v>
      </c>
      <c r="R25" s="12">
        <v>0</v>
      </c>
      <c r="S25" s="11">
        <v>6753.0400000000018</v>
      </c>
      <c r="T25" s="75">
        <v>1814.6274999266357</v>
      </c>
      <c r="U25" s="75">
        <v>0</v>
      </c>
      <c r="V25" s="10">
        <v>7659.9277089019306</v>
      </c>
      <c r="W25" s="11">
        <v>24.200000000000014</v>
      </c>
      <c r="X25" s="12">
        <v>36.558275034182401</v>
      </c>
      <c r="Y25" s="11">
        <v>6066.320655156409</v>
      </c>
      <c r="Z25" s="11">
        <v>58.588275034182402</v>
      </c>
      <c r="AA25" s="11">
        <v>48.300000000000011</v>
      </c>
      <c r="AB25" s="41">
        <v>26.083534880775023</v>
      </c>
      <c r="AC25" s="11">
        <v>0</v>
      </c>
      <c r="AD25" s="10">
        <v>3602.1378139479334</v>
      </c>
      <c r="AE25" s="11">
        <v>11955.199769817318</v>
      </c>
      <c r="AF25" s="11">
        <v>849.85541660798197</v>
      </c>
      <c r="AG25" s="11">
        <v>897.80000000000064</v>
      </c>
      <c r="AH25" s="11">
        <v>50.701644597026117</v>
      </c>
      <c r="AI25" s="11">
        <v>710.00000000021078</v>
      </c>
      <c r="AJ25" s="12">
        <v>0</v>
      </c>
      <c r="AK25" s="11">
        <v>1066.1326615512548</v>
      </c>
      <c r="AL25" s="38">
        <v>828319.26574450068</v>
      </c>
      <c r="AM25" s="11">
        <v>310.63058607135974</v>
      </c>
      <c r="AN25" s="10">
        <v>641.99704448085447</v>
      </c>
      <c r="AO25" s="41">
        <v>818445.27160955686</v>
      </c>
      <c r="AP25" s="12">
        <v>102.75432596469773</v>
      </c>
      <c r="AQ25" s="11">
        <v>447.99999999995981</v>
      </c>
      <c r="AR25" s="41">
        <v>694891.83758928068</v>
      </c>
      <c r="AS25" s="41">
        <v>46002.618638423497</v>
      </c>
      <c r="AT25" s="13">
        <v>29117.282138754959</v>
      </c>
      <c r="AU25" s="11">
        <v>74202.333333333372</v>
      </c>
      <c r="AV25" s="13">
        <v>51076.466369976159</v>
      </c>
    </row>
    <row r="26" spans="1:48" x14ac:dyDescent="0.25">
      <c r="A26" s="32">
        <f t="shared" si="0"/>
        <v>44804</v>
      </c>
      <c r="B26" s="10">
        <v>6501.4542210636082</v>
      </c>
      <c r="C26" s="11">
        <v>70.700000000000273</v>
      </c>
      <c r="D26" s="11">
        <v>100.09537790946152</v>
      </c>
      <c r="E26" s="11">
        <v>0</v>
      </c>
      <c r="F26" s="10">
        <v>6025.7187623491891</v>
      </c>
      <c r="G26" s="11">
        <v>109.79537790946114</v>
      </c>
      <c r="H26" s="11">
        <v>80.399999999999878</v>
      </c>
      <c r="I26" s="11">
        <v>96.193668438343153</v>
      </c>
      <c r="J26" s="12">
        <v>0</v>
      </c>
      <c r="K26" s="11">
        <v>9319.9999999999891</v>
      </c>
      <c r="L26" s="11">
        <v>9.0000000000000213</v>
      </c>
      <c r="M26" s="11">
        <v>21.284350000001513</v>
      </c>
      <c r="N26" s="10">
        <v>7510.8225830085903</v>
      </c>
      <c r="O26" s="11">
        <v>71.584350000001507</v>
      </c>
      <c r="P26" s="11">
        <v>59.300000000000011</v>
      </c>
      <c r="Q26" s="11">
        <v>119.87816393052751</v>
      </c>
      <c r="R26" s="12">
        <v>0</v>
      </c>
      <c r="S26" s="11">
        <v>6753.0400000000072</v>
      </c>
      <c r="T26" s="75">
        <v>2095.2574826865225</v>
      </c>
      <c r="U26" s="75">
        <v>0</v>
      </c>
      <c r="V26" s="10">
        <v>7651.9250846595896</v>
      </c>
      <c r="W26" s="11">
        <v>17.199999999999985</v>
      </c>
      <c r="X26" s="12">
        <v>37.002772367919725</v>
      </c>
      <c r="Y26" s="11">
        <v>6064.0890162480437</v>
      </c>
      <c r="Z26" s="11">
        <v>48.648772367919769</v>
      </c>
      <c r="AA26" s="11">
        <v>29.700000000000024</v>
      </c>
      <c r="AB26" s="41">
        <v>26.083534880775023</v>
      </c>
      <c r="AC26" s="11">
        <v>0</v>
      </c>
      <c r="AD26" s="10">
        <v>3599.7877191742232</v>
      </c>
      <c r="AE26" s="11">
        <v>11729.83738099195</v>
      </c>
      <c r="AF26" s="11">
        <v>567.05056423802523</v>
      </c>
      <c r="AG26" s="11">
        <v>445.10000000000014</v>
      </c>
      <c r="AH26" s="11">
        <v>50.441938350871943</v>
      </c>
      <c r="AI26" s="11">
        <v>759.99999999990598</v>
      </c>
      <c r="AJ26" s="12">
        <v>0</v>
      </c>
      <c r="AK26" s="11">
        <v>1065.7419991320546</v>
      </c>
      <c r="AL26" s="38">
        <v>787050.02662279445</v>
      </c>
      <c r="AM26" s="11">
        <v>293.08353854339612</v>
      </c>
      <c r="AN26" s="10">
        <v>641.99704448068405</v>
      </c>
      <c r="AO26" s="41">
        <v>752179.70242230222</v>
      </c>
      <c r="AP26" s="12">
        <v>94.366831585532196</v>
      </c>
      <c r="AQ26" s="11">
        <v>447.50000000179955</v>
      </c>
      <c r="AR26" s="41">
        <v>625367.01913666679</v>
      </c>
      <c r="AS26" s="41">
        <v>40990.725495161132</v>
      </c>
      <c r="AT26" s="13">
        <v>29606.507988692701</v>
      </c>
      <c r="AU26" s="11">
        <v>74202.333333333372</v>
      </c>
      <c r="AV26" s="13">
        <v>51076.466369976159</v>
      </c>
    </row>
    <row r="27" spans="1:48" x14ac:dyDescent="0.25">
      <c r="A27" s="43">
        <f t="shared" si="0"/>
        <v>44834</v>
      </c>
      <c r="B27" s="11">
        <v>6498.1038862874311</v>
      </c>
      <c r="C27" s="11">
        <v>43.90000000000002</v>
      </c>
      <c r="D27" s="11">
        <v>67.265110921251747</v>
      </c>
      <c r="E27" s="11">
        <v>0</v>
      </c>
      <c r="F27" s="10">
        <v>6024.8871657201698</v>
      </c>
      <c r="G27" s="11">
        <v>73.465110921251721</v>
      </c>
      <c r="H27" s="11">
        <v>50.099999999999987</v>
      </c>
      <c r="I27" s="11">
        <v>94.649507335571897</v>
      </c>
      <c r="J27" s="12">
        <v>0</v>
      </c>
      <c r="K27" s="11">
        <v>9311.4999999999891</v>
      </c>
      <c r="L27" s="11">
        <v>7.3000000000000194</v>
      </c>
      <c r="M27" s="11">
        <v>21.938319999997965</v>
      </c>
      <c r="N27" s="10">
        <v>7502.644398290985</v>
      </c>
      <c r="O27" s="11">
        <v>52.138319999997947</v>
      </c>
      <c r="P27" s="11">
        <v>37.5</v>
      </c>
      <c r="Q27" s="11">
        <v>120.90076796025397</v>
      </c>
      <c r="R27" s="12">
        <v>0</v>
      </c>
      <c r="S27" s="11">
        <v>6753.0362407513312</v>
      </c>
      <c r="T27" s="75">
        <v>2165.8591453308036</v>
      </c>
      <c r="U27" s="75">
        <v>80.955680708900658</v>
      </c>
      <c r="V27" s="10">
        <v>7645.9299197787323</v>
      </c>
      <c r="W27" s="11">
        <v>17.79999999999999</v>
      </c>
      <c r="X27" s="12">
        <v>31.692574748272133</v>
      </c>
      <c r="Y27" s="11">
        <v>6063.0000009316154</v>
      </c>
      <c r="Z27" s="11">
        <v>53.39657474827218</v>
      </c>
      <c r="AA27" s="11">
        <v>41.000000000000028</v>
      </c>
      <c r="AB27" s="41">
        <v>38.54373724060563</v>
      </c>
      <c r="AC27" s="11">
        <v>0</v>
      </c>
      <c r="AD27" s="10">
        <v>3599.0843186788029</v>
      </c>
      <c r="AE27" s="11">
        <v>11662.934975880977</v>
      </c>
      <c r="AF27" s="11">
        <v>538.9368135545393</v>
      </c>
      <c r="AG27" s="11">
        <v>385.8</v>
      </c>
      <c r="AH27" s="11">
        <v>46.191409370151128</v>
      </c>
      <c r="AI27" s="11">
        <v>564.99999999846113</v>
      </c>
      <c r="AJ27" s="12">
        <v>0</v>
      </c>
      <c r="AK27" s="11">
        <v>1063.8666549099066</v>
      </c>
      <c r="AL27" s="38">
        <v>714600.09082138562</v>
      </c>
      <c r="AM27" s="11">
        <v>263.91700742667706</v>
      </c>
      <c r="AN27" s="10">
        <v>640.00753110685321</v>
      </c>
      <c r="AO27" s="41">
        <v>735612.88113873044</v>
      </c>
      <c r="AP27" s="12">
        <v>91.598977695082951</v>
      </c>
      <c r="AQ27" s="11">
        <v>447.49999999998084</v>
      </c>
      <c r="AR27" s="41">
        <v>531459.8865322402</v>
      </c>
      <c r="AS27" s="41">
        <v>34585.369957362498</v>
      </c>
      <c r="AT27" s="13">
        <v>25558.317786963598</v>
      </c>
      <c r="AU27" s="11">
        <v>56163.333333333379</v>
      </c>
      <c r="AV27" s="13">
        <v>139684.21091025876</v>
      </c>
    </row>
    <row r="28" spans="1:48" x14ac:dyDescent="0.25">
      <c r="A28" s="43">
        <f t="shared" si="0"/>
        <v>44865</v>
      </c>
      <c r="B28" s="11"/>
      <c r="C28" s="11"/>
      <c r="D28" s="11"/>
      <c r="E28" s="11"/>
      <c r="F28" s="10"/>
      <c r="G28" s="11"/>
      <c r="H28" s="11"/>
      <c r="I28" s="11"/>
      <c r="J28" s="12"/>
      <c r="K28" s="11"/>
      <c r="L28" s="11"/>
      <c r="M28" s="11"/>
      <c r="N28" s="10"/>
      <c r="O28" s="11"/>
      <c r="P28" s="11"/>
      <c r="Q28" s="11"/>
      <c r="R28" s="12"/>
      <c r="S28" s="11"/>
      <c r="T28" s="11"/>
      <c r="U28" s="11"/>
      <c r="V28" s="10"/>
      <c r="W28" s="11"/>
      <c r="X28" s="12"/>
      <c r="Y28" s="11"/>
      <c r="Z28" s="11"/>
      <c r="AA28" s="11"/>
      <c r="AB28" s="41"/>
      <c r="AC28" s="11"/>
      <c r="AD28" s="10"/>
      <c r="AE28" s="11"/>
      <c r="AF28" s="11"/>
      <c r="AG28" s="11"/>
      <c r="AH28" s="11"/>
      <c r="AI28" s="11"/>
      <c r="AJ28" s="12"/>
      <c r="AK28" s="11"/>
      <c r="AL28" s="38"/>
      <c r="AM28" s="11"/>
      <c r="AN28" s="10"/>
      <c r="AO28" s="41"/>
      <c r="AP28" s="12"/>
      <c r="AQ28" s="11"/>
      <c r="AR28" s="41"/>
      <c r="AS28" s="41"/>
      <c r="AT28" s="13"/>
      <c r="AU28" s="11"/>
      <c r="AV28" s="13"/>
    </row>
    <row r="29" spans="1:48" x14ac:dyDescent="0.25">
      <c r="A29" s="43">
        <f t="shared" si="0"/>
        <v>44895</v>
      </c>
      <c r="B29" s="11"/>
      <c r="C29" s="11"/>
      <c r="D29" s="11"/>
      <c r="E29" s="11"/>
      <c r="F29" s="10"/>
      <c r="G29" s="11"/>
      <c r="H29" s="11"/>
      <c r="I29" s="11"/>
      <c r="J29" s="12"/>
      <c r="K29" s="11"/>
      <c r="L29" s="11"/>
      <c r="M29" s="11"/>
      <c r="N29" s="10"/>
      <c r="O29" s="11"/>
      <c r="P29" s="11"/>
      <c r="Q29" s="11"/>
      <c r="R29" s="12"/>
      <c r="S29" s="11"/>
      <c r="T29" s="11"/>
      <c r="U29" s="11"/>
      <c r="V29" s="10"/>
      <c r="W29" s="11"/>
      <c r="X29" s="12"/>
      <c r="Y29" s="11"/>
      <c r="Z29" s="11"/>
      <c r="AA29" s="11"/>
      <c r="AB29" s="41"/>
      <c r="AC29" s="11"/>
      <c r="AD29" s="10"/>
      <c r="AE29" s="11"/>
      <c r="AF29" s="11"/>
      <c r="AG29" s="11"/>
      <c r="AH29" s="11"/>
      <c r="AI29" s="11"/>
      <c r="AJ29" s="12"/>
      <c r="AK29" s="11"/>
      <c r="AL29" s="38"/>
      <c r="AM29" s="11"/>
      <c r="AN29" s="10"/>
      <c r="AO29" s="41"/>
      <c r="AP29" s="12"/>
      <c r="AQ29" s="11"/>
      <c r="AR29" s="41"/>
      <c r="AS29" s="41"/>
      <c r="AT29" s="13"/>
      <c r="AU29" s="11"/>
      <c r="AV29" s="13"/>
    </row>
    <row r="30" spans="1:48" x14ac:dyDescent="0.25">
      <c r="A30" s="43">
        <f t="shared" si="0"/>
        <v>44926</v>
      </c>
      <c r="B30" s="11"/>
      <c r="C30" s="11"/>
      <c r="D30" s="11"/>
      <c r="E30" s="11"/>
      <c r="F30" s="10"/>
      <c r="G30" s="11"/>
      <c r="H30" s="11"/>
      <c r="I30" s="11"/>
      <c r="J30" s="12"/>
      <c r="K30" s="11"/>
      <c r="L30" s="11"/>
      <c r="M30" s="11"/>
      <c r="N30" s="10"/>
      <c r="O30" s="11"/>
      <c r="P30" s="11"/>
      <c r="Q30" s="11"/>
      <c r="R30" s="12"/>
      <c r="S30" s="11"/>
      <c r="T30" s="11"/>
      <c r="U30" s="11"/>
      <c r="V30" s="10"/>
      <c r="W30" s="11"/>
      <c r="X30" s="12"/>
      <c r="Y30" s="11"/>
      <c r="Z30" s="11"/>
      <c r="AA30" s="11"/>
      <c r="AB30" s="41"/>
      <c r="AC30" s="11"/>
      <c r="AD30" s="10"/>
      <c r="AE30" s="11"/>
      <c r="AF30" s="11"/>
      <c r="AG30" s="11"/>
      <c r="AH30" s="11"/>
      <c r="AI30" s="11"/>
      <c r="AJ30" s="12"/>
      <c r="AK30" s="11"/>
      <c r="AL30" s="38"/>
      <c r="AM30" s="11"/>
      <c r="AN30" s="10"/>
      <c r="AO30" s="41"/>
      <c r="AP30" s="12"/>
      <c r="AQ30" s="11"/>
      <c r="AR30" s="41"/>
      <c r="AS30" s="41"/>
      <c r="AT30" s="13"/>
      <c r="AU30" s="11"/>
      <c r="AV30" s="13"/>
    </row>
    <row r="31" spans="1:48" x14ac:dyDescent="0.25">
      <c r="A31" s="43">
        <f t="shared" si="0"/>
        <v>44957</v>
      </c>
      <c r="B31" s="11"/>
      <c r="C31" s="11"/>
      <c r="D31" s="11"/>
      <c r="E31" s="11"/>
      <c r="F31" s="10"/>
      <c r="G31" s="11"/>
      <c r="H31" s="11"/>
      <c r="I31" s="11"/>
      <c r="J31" s="12"/>
      <c r="K31" s="11"/>
      <c r="L31" s="11"/>
      <c r="M31" s="11"/>
      <c r="N31" s="10"/>
      <c r="O31" s="11"/>
      <c r="P31" s="11"/>
      <c r="Q31" s="11"/>
      <c r="R31" s="12"/>
      <c r="S31" s="11"/>
      <c r="T31" s="11"/>
      <c r="U31" s="11"/>
      <c r="V31" s="10"/>
      <c r="W31" s="11"/>
      <c r="X31" s="12"/>
      <c r="Y31" s="11"/>
      <c r="Z31" s="11"/>
      <c r="AA31" s="11"/>
      <c r="AB31" s="41"/>
      <c r="AC31" s="11"/>
      <c r="AD31" s="10"/>
      <c r="AE31" s="11"/>
      <c r="AF31" s="11"/>
      <c r="AG31" s="11"/>
      <c r="AH31" s="11"/>
      <c r="AI31" s="11"/>
      <c r="AJ31" s="12"/>
      <c r="AK31" s="11"/>
      <c r="AL31" s="38"/>
      <c r="AM31" s="11"/>
      <c r="AN31" s="10"/>
      <c r="AO31" s="41"/>
      <c r="AP31" s="12"/>
      <c r="AQ31" s="11"/>
      <c r="AR31" s="41"/>
      <c r="AS31" s="41"/>
      <c r="AT31" s="13"/>
      <c r="AU31" s="11"/>
      <c r="AV31" s="13"/>
    </row>
    <row r="32" spans="1:48" x14ac:dyDescent="0.25">
      <c r="A32" s="43">
        <f t="shared" si="0"/>
        <v>44985</v>
      </c>
      <c r="B32" s="11"/>
      <c r="C32" s="11"/>
      <c r="D32" s="11"/>
      <c r="E32" s="11"/>
      <c r="F32" s="10"/>
      <c r="G32" s="11"/>
      <c r="H32" s="11"/>
      <c r="I32" s="11"/>
      <c r="J32" s="12"/>
      <c r="K32" s="11"/>
      <c r="L32" s="11"/>
      <c r="M32" s="11"/>
      <c r="N32" s="10"/>
      <c r="O32" s="11"/>
      <c r="P32" s="11"/>
      <c r="Q32" s="11"/>
      <c r="R32" s="12"/>
      <c r="S32" s="11"/>
      <c r="T32" s="11"/>
      <c r="U32" s="11"/>
      <c r="V32" s="10"/>
      <c r="W32" s="11"/>
      <c r="X32" s="12"/>
      <c r="Y32" s="11"/>
      <c r="Z32" s="11"/>
      <c r="AA32" s="11"/>
      <c r="AB32" s="41"/>
      <c r="AC32" s="11"/>
      <c r="AD32" s="10"/>
      <c r="AE32" s="11"/>
      <c r="AF32" s="11"/>
      <c r="AG32" s="11"/>
      <c r="AH32" s="11"/>
      <c r="AI32" s="11"/>
      <c r="AJ32" s="12"/>
      <c r="AK32" s="11"/>
      <c r="AL32" s="38"/>
      <c r="AM32" s="11"/>
      <c r="AN32" s="10"/>
      <c r="AO32" s="41"/>
      <c r="AP32" s="12"/>
      <c r="AQ32" s="11"/>
      <c r="AR32" s="41"/>
      <c r="AS32" s="41"/>
      <c r="AT32" s="13"/>
      <c r="AU32" s="11"/>
      <c r="AV32" s="13"/>
    </row>
    <row r="33" spans="1:48" x14ac:dyDescent="0.25">
      <c r="A33" s="43">
        <f t="shared" si="0"/>
        <v>45016</v>
      </c>
      <c r="B33" s="11"/>
      <c r="C33" s="11"/>
      <c r="D33" s="11"/>
      <c r="E33" s="11"/>
      <c r="F33" s="10"/>
      <c r="G33" s="11"/>
      <c r="H33" s="11"/>
      <c r="I33" s="11"/>
      <c r="J33" s="12"/>
      <c r="K33" s="11"/>
      <c r="L33" s="11"/>
      <c r="M33" s="11"/>
      <c r="N33" s="10"/>
      <c r="O33" s="11"/>
      <c r="P33" s="11"/>
      <c r="Q33" s="11"/>
      <c r="R33" s="12"/>
      <c r="S33" s="11"/>
      <c r="T33" s="11"/>
      <c r="U33" s="11"/>
      <c r="V33" s="10"/>
      <c r="W33" s="11"/>
      <c r="X33" s="12"/>
      <c r="Y33" s="11"/>
      <c r="Z33" s="11"/>
      <c r="AA33" s="11"/>
      <c r="AB33" s="41"/>
      <c r="AC33" s="11"/>
      <c r="AD33" s="10"/>
      <c r="AE33" s="11"/>
      <c r="AF33" s="11"/>
      <c r="AG33" s="11"/>
      <c r="AH33" s="11"/>
      <c r="AI33" s="11"/>
      <c r="AJ33" s="12"/>
      <c r="AK33" s="11"/>
      <c r="AL33" s="38"/>
      <c r="AM33" s="11"/>
      <c r="AN33" s="10"/>
      <c r="AO33" s="41"/>
      <c r="AP33" s="12"/>
      <c r="AQ33" s="11"/>
      <c r="AR33" s="41"/>
      <c r="AS33" s="41"/>
      <c r="AT33" s="13"/>
      <c r="AU33" s="11"/>
      <c r="AV33" s="13"/>
    </row>
    <row r="34" spans="1:48" x14ac:dyDescent="0.25">
      <c r="A34" s="43">
        <f t="shared" si="0"/>
        <v>45046</v>
      </c>
      <c r="B34" s="11"/>
      <c r="C34" s="11"/>
      <c r="D34" s="11"/>
      <c r="E34" s="11"/>
      <c r="F34" s="10"/>
      <c r="G34" s="11"/>
      <c r="H34" s="11"/>
      <c r="I34" s="11"/>
      <c r="J34" s="12"/>
      <c r="K34" s="11"/>
      <c r="L34" s="11"/>
      <c r="M34" s="11"/>
      <c r="N34" s="10"/>
      <c r="O34" s="11"/>
      <c r="P34" s="11"/>
      <c r="Q34" s="11"/>
      <c r="R34" s="12"/>
      <c r="S34" s="11"/>
      <c r="T34" s="11"/>
      <c r="U34" s="11"/>
      <c r="V34" s="10"/>
      <c r="W34" s="11"/>
      <c r="X34" s="12"/>
      <c r="Y34" s="11"/>
      <c r="Z34" s="11"/>
      <c r="AA34" s="11"/>
      <c r="AB34" s="41"/>
      <c r="AC34" s="11"/>
      <c r="AD34" s="10"/>
      <c r="AE34" s="11"/>
      <c r="AF34" s="11"/>
      <c r="AG34" s="11"/>
      <c r="AH34" s="11"/>
      <c r="AI34" s="11"/>
      <c r="AJ34" s="12"/>
      <c r="AK34" s="11"/>
      <c r="AL34" s="38"/>
      <c r="AM34" s="11"/>
      <c r="AN34" s="10"/>
      <c r="AO34" s="41"/>
      <c r="AP34" s="12"/>
      <c r="AQ34" s="11"/>
      <c r="AR34" s="41"/>
      <c r="AS34" s="41"/>
      <c r="AT34" s="13"/>
      <c r="AU34" s="11"/>
      <c r="AV34" s="13"/>
    </row>
    <row r="35" spans="1:48" x14ac:dyDescent="0.25">
      <c r="A35" s="44">
        <f t="shared" si="0"/>
        <v>45077</v>
      </c>
      <c r="B35" s="15"/>
      <c r="C35" s="15"/>
      <c r="D35" s="15"/>
      <c r="E35" s="15"/>
      <c r="F35" s="14"/>
      <c r="G35" s="15"/>
      <c r="H35" s="15"/>
      <c r="I35" s="15"/>
      <c r="J35" s="16"/>
      <c r="K35" s="15"/>
      <c r="L35" s="15"/>
      <c r="M35" s="15"/>
      <c r="N35" s="14"/>
      <c r="O35" s="15"/>
      <c r="P35" s="15"/>
      <c r="Q35" s="15"/>
      <c r="R35" s="16"/>
      <c r="S35" s="15"/>
      <c r="T35" s="15"/>
      <c r="U35" s="15"/>
      <c r="V35" s="14"/>
      <c r="W35" s="15"/>
      <c r="X35" s="16"/>
      <c r="Y35" s="15"/>
      <c r="Z35" s="15"/>
      <c r="AA35" s="15"/>
      <c r="AB35" s="42"/>
      <c r="AC35" s="15"/>
      <c r="AD35" s="14"/>
      <c r="AE35" s="15"/>
      <c r="AF35" s="15"/>
      <c r="AG35" s="15"/>
      <c r="AH35" s="15"/>
      <c r="AI35" s="15"/>
      <c r="AJ35" s="16"/>
      <c r="AK35" s="15"/>
      <c r="AL35" s="39"/>
      <c r="AM35" s="15"/>
      <c r="AN35" s="14"/>
      <c r="AO35" s="42"/>
      <c r="AP35" s="16"/>
      <c r="AQ35" s="15"/>
      <c r="AR35" s="42"/>
      <c r="AS35" s="42"/>
      <c r="AT35" s="17"/>
      <c r="AU35" s="15"/>
      <c r="AV35" s="17"/>
    </row>
  </sheetData>
  <mergeCells count="13">
    <mergeCell ref="AB1:AV1"/>
    <mergeCell ref="B1:Y1"/>
    <mergeCell ref="V2:X2"/>
    <mergeCell ref="B2:E2"/>
    <mergeCell ref="F2:J2"/>
    <mergeCell ref="K2:M2"/>
    <mergeCell ref="N2:R2"/>
    <mergeCell ref="S2:U2"/>
    <mergeCell ref="Y2:AC2"/>
    <mergeCell ref="AD2:AJ2"/>
    <mergeCell ref="AK2:AM2"/>
    <mergeCell ref="AN2:AP2"/>
    <mergeCell ref="AQ2:AS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6"/>
  </sheetPr>
  <dimension ref="A1:AV35"/>
  <sheetViews>
    <sheetView zoomScale="90" zoomScaleNormal="90" workbookViewId="0">
      <selection activeCell="AK36" sqref="AK36"/>
    </sheetView>
  </sheetViews>
  <sheetFormatPr defaultRowHeight="15" x14ac:dyDescent="0.25"/>
  <cols>
    <col min="1" max="1" width="16.42578125" customWidth="1"/>
    <col min="2" max="2" width="9.28515625" bestFit="1" customWidth="1"/>
    <col min="3" max="3" width="9.28515625" customWidth="1"/>
    <col min="4" max="6" width="9.28515625" bestFit="1" customWidth="1"/>
    <col min="7" max="8" width="9.28515625" customWidth="1"/>
    <col min="9" max="11" width="9.28515625" bestFit="1" customWidth="1"/>
    <col min="12" max="12" width="9.28515625" customWidth="1"/>
    <col min="13" max="14" width="9.28515625" bestFit="1" customWidth="1"/>
    <col min="15" max="16" width="9.28515625" customWidth="1"/>
    <col min="17" max="19" width="9.28515625" bestFit="1" customWidth="1"/>
    <col min="20" max="20" width="12.28515625" bestFit="1" customWidth="1"/>
    <col min="21" max="22" width="9.28515625" bestFit="1" customWidth="1"/>
    <col min="23" max="23" width="9.28515625" customWidth="1"/>
    <col min="24" max="25" width="9.28515625" bestFit="1" customWidth="1"/>
    <col min="26" max="27" width="9.28515625" customWidth="1"/>
    <col min="28" max="28" width="10.28515625" bestFit="1" customWidth="1"/>
    <col min="29" max="30" width="9.28515625" bestFit="1" customWidth="1"/>
    <col min="31" max="31" width="13.140625" customWidth="1"/>
    <col min="32" max="34" width="9.28515625" customWidth="1"/>
    <col min="35" max="37" width="9.28515625" bestFit="1" customWidth="1"/>
    <col min="38" max="38" width="15.7109375" customWidth="1"/>
    <col min="39" max="45" width="9.28515625" bestFit="1" customWidth="1"/>
    <col min="46" max="46" width="28.85546875" customWidth="1"/>
    <col min="47" max="48" width="19.140625" customWidth="1"/>
  </cols>
  <sheetData>
    <row r="1" spans="1:48" ht="18.75" x14ac:dyDescent="0.3">
      <c r="A1" s="1"/>
      <c r="B1" s="125" t="s">
        <v>63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62"/>
      <c r="AA1" s="62"/>
      <c r="AB1" s="125" t="s">
        <v>63</v>
      </c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5"/>
      <c r="AQ1" s="125"/>
      <c r="AR1" s="125"/>
      <c r="AS1" s="125"/>
      <c r="AT1" s="125"/>
      <c r="AU1" s="125"/>
      <c r="AV1" s="125"/>
    </row>
    <row r="2" spans="1:48" x14ac:dyDescent="0.25">
      <c r="A2" s="51"/>
      <c r="B2" s="127" t="s">
        <v>7</v>
      </c>
      <c r="C2" s="126"/>
      <c r="D2" s="126"/>
      <c r="E2" s="126"/>
      <c r="F2" s="127" t="s">
        <v>6</v>
      </c>
      <c r="G2" s="126"/>
      <c r="H2" s="126"/>
      <c r="I2" s="126"/>
      <c r="J2" s="128"/>
      <c r="K2" s="126" t="s">
        <v>5</v>
      </c>
      <c r="L2" s="126"/>
      <c r="M2" s="126"/>
      <c r="N2" s="127" t="s">
        <v>4</v>
      </c>
      <c r="O2" s="126"/>
      <c r="P2" s="126"/>
      <c r="Q2" s="126"/>
      <c r="R2" s="128"/>
      <c r="S2" s="126" t="s">
        <v>8</v>
      </c>
      <c r="T2" s="126"/>
      <c r="U2" s="126"/>
      <c r="V2" s="127" t="s">
        <v>9</v>
      </c>
      <c r="W2" s="126"/>
      <c r="X2" s="128"/>
      <c r="Y2" s="126" t="s">
        <v>10</v>
      </c>
      <c r="Z2" s="126"/>
      <c r="AA2" s="126"/>
      <c r="AB2" s="126"/>
      <c r="AC2" s="126"/>
      <c r="AD2" s="127" t="s">
        <v>11</v>
      </c>
      <c r="AE2" s="126"/>
      <c r="AF2" s="126"/>
      <c r="AG2" s="126"/>
      <c r="AH2" s="126"/>
      <c r="AI2" s="126"/>
      <c r="AJ2" s="128"/>
      <c r="AK2" s="126" t="s">
        <v>12</v>
      </c>
      <c r="AL2" s="126"/>
      <c r="AM2" s="126"/>
      <c r="AN2" s="127" t="s">
        <v>14</v>
      </c>
      <c r="AO2" s="126"/>
      <c r="AP2" s="128"/>
      <c r="AQ2" s="126" t="s">
        <v>15</v>
      </c>
      <c r="AR2" s="126"/>
      <c r="AS2" s="126"/>
      <c r="AT2" s="34" t="s">
        <v>16</v>
      </c>
      <c r="AU2" s="33" t="s">
        <v>17</v>
      </c>
      <c r="AV2" s="34" t="s">
        <v>18</v>
      </c>
    </row>
    <row r="3" spans="1:48" x14ac:dyDescent="0.25">
      <c r="A3" s="52"/>
      <c r="B3" s="45" t="s">
        <v>1</v>
      </c>
      <c r="C3" s="46" t="s">
        <v>134</v>
      </c>
      <c r="D3" s="46" t="s">
        <v>2</v>
      </c>
      <c r="E3" s="46" t="s">
        <v>3</v>
      </c>
      <c r="F3" s="45" t="s">
        <v>1</v>
      </c>
      <c r="G3" s="46" t="s">
        <v>134</v>
      </c>
      <c r="H3" s="46" t="s">
        <v>135</v>
      </c>
      <c r="I3" s="46" t="s">
        <v>2</v>
      </c>
      <c r="J3" s="47" t="s">
        <v>3</v>
      </c>
      <c r="K3" s="46" t="s">
        <v>1</v>
      </c>
      <c r="L3" s="46" t="s">
        <v>134</v>
      </c>
      <c r="M3" s="46" t="s">
        <v>2</v>
      </c>
      <c r="N3" s="45" t="s">
        <v>1</v>
      </c>
      <c r="O3" s="46" t="s">
        <v>134</v>
      </c>
      <c r="P3" s="46" t="s">
        <v>135</v>
      </c>
      <c r="Q3" s="46" t="s">
        <v>2</v>
      </c>
      <c r="R3" s="47" t="s">
        <v>3</v>
      </c>
      <c r="S3" s="46" t="s">
        <v>1</v>
      </c>
      <c r="T3" s="46" t="s">
        <v>2</v>
      </c>
      <c r="U3" s="46" t="s">
        <v>3</v>
      </c>
      <c r="V3" s="45" t="s">
        <v>1</v>
      </c>
      <c r="W3" s="46" t="s">
        <v>134</v>
      </c>
      <c r="X3" s="47" t="s">
        <v>2</v>
      </c>
      <c r="Y3" s="46" t="s">
        <v>1</v>
      </c>
      <c r="Z3" s="46" t="s">
        <v>134</v>
      </c>
      <c r="AA3" s="46" t="s">
        <v>135</v>
      </c>
      <c r="AB3" s="46" t="s">
        <v>2</v>
      </c>
      <c r="AC3" s="46" t="s">
        <v>3</v>
      </c>
      <c r="AD3" s="45" t="s">
        <v>1</v>
      </c>
      <c r="AE3" s="46" t="s">
        <v>136</v>
      </c>
      <c r="AF3" s="46" t="s">
        <v>134</v>
      </c>
      <c r="AG3" s="46" t="s">
        <v>135</v>
      </c>
      <c r="AH3" s="46" t="s">
        <v>137</v>
      </c>
      <c r="AI3" s="46" t="s">
        <v>2</v>
      </c>
      <c r="AJ3" s="47" t="s">
        <v>3</v>
      </c>
      <c r="AK3" s="46" t="s">
        <v>1</v>
      </c>
      <c r="AL3" s="46" t="s">
        <v>2</v>
      </c>
      <c r="AM3" s="46" t="s">
        <v>13</v>
      </c>
      <c r="AN3" s="45" t="s">
        <v>1</v>
      </c>
      <c r="AO3" s="46" t="s">
        <v>2</v>
      </c>
      <c r="AP3" s="47" t="s">
        <v>13</v>
      </c>
      <c r="AQ3" s="46" t="s">
        <v>1</v>
      </c>
      <c r="AR3" s="46" t="s">
        <v>2</v>
      </c>
      <c r="AS3" s="46" t="s">
        <v>13</v>
      </c>
      <c r="AT3" s="48" t="s">
        <v>19</v>
      </c>
      <c r="AU3" s="46" t="s">
        <v>19</v>
      </c>
      <c r="AV3" s="48" t="s">
        <v>19</v>
      </c>
    </row>
    <row r="4" spans="1:48" x14ac:dyDescent="0.25">
      <c r="A4" s="53">
        <f>RunInformation!AD5</f>
        <v>44135</v>
      </c>
      <c r="B4" s="6">
        <f>'24MS_Data'!B4-MTOM_Data!B4</f>
        <v>0.46442031045990007</v>
      </c>
      <c r="C4" s="7">
        <f>'24MS_Data'!C4-MTOM_Data!C4</f>
        <v>0</v>
      </c>
      <c r="D4" s="7">
        <f>'24MS_Data'!D4-MTOM_Data!D4</f>
        <v>-3.1425279395654897</v>
      </c>
      <c r="E4" s="7">
        <f>'24MS_Data'!E4-MTOM_Data!E4</f>
        <v>-3.1676830013684949</v>
      </c>
      <c r="F4" s="6">
        <f>'24MS_Data'!F4-MTOM_Data!F4</f>
        <v>0.32197859640928073</v>
      </c>
      <c r="G4" s="7">
        <f>'24MS_Data'!G4-MTOM_Data!G4</f>
        <v>-3.1425279395033812</v>
      </c>
      <c r="H4" s="7">
        <f>'24MS_Data'!H4-MTOM_Data!H4</f>
        <v>0</v>
      </c>
      <c r="I4" s="7">
        <f>'24MS_Data'!I4-MTOM_Data!I4</f>
        <v>-15.573884297520706</v>
      </c>
      <c r="J4" s="8">
        <f>'24MS_Data'!J4-MTOM_Data!J4</f>
        <v>0</v>
      </c>
      <c r="K4" s="7">
        <f>'24MS_Data'!K4-MTOM_Data!K4</f>
        <v>-0.73806944372881844</v>
      </c>
      <c r="L4" s="7">
        <f>'24MS_Data'!L4-MTOM_Data!L4</f>
        <v>0</v>
      </c>
      <c r="M4" s="7">
        <f>'24MS_Data'!M4-MTOM_Data!M4</f>
        <v>1.1412396694214992</v>
      </c>
      <c r="N4" s="6">
        <f>'24MS_Data'!N4-MTOM_Data!N4</f>
        <v>-2.7000324784075929</v>
      </c>
      <c r="O4" s="7">
        <f>'24MS_Data'!O4-MTOM_Data!O4</f>
        <v>1.1412396693687761</v>
      </c>
      <c r="P4" s="7">
        <f>'24MS_Data'!P4-MTOM_Data!P4</f>
        <v>0</v>
      </c>
      <c r="Q4" s="7">
        <f>'24MS_Data'!Q4-MTOM_Data!Q4</f>
        <v>18.592236865133401</v>
      </c>
      <c r="R4" s="8">
        <f>'24MS_Data'!R4-MTOM_Data!R4</f>
        <v>0</v>
      </c>
      <c r="S4" s="7">
        <f>'24MS_Data'!S4-MTOM_Data!S4</f>
        <v>-3.4066457022900067</v>
      </c>
      <c r="T4" s="7">
        <f>'24MS_Data'!T4-MTOM_Data!T4</f>
        <v>392.02872941538055</v>
      </c>
      <c r="U4" s="7">
        <f>'24MS_Data'!U4-MTOM_Data!U4</f>
        <v>0</v>
      </c>
      <c r="V4" s="6">
        <f>'24MS_Data'!V4-MTOM_Data!V4</f>
        <v>-7.9335139635913947</v>
      </c>
      <c r="W4" s="7">
        <f>'24MS_Data'!W4-MTOM_Data!W4</f>
        <v>0</v>
      </c>
      <c r="X4" s="8">
        <f>'24MS_Data'!X4-MTOM_Data!X4</f>
        <v>10.395371969998989</v>
      </c>
      <c r="Y4" s="7">
        <f>'24MS_Data'!Y4-MTOM_Data!Y4</f>
        <v>0.10032907675304159</v>
      </c>
      <c r="Z4" s="7">
        <f>'24MS_Data'!Z4-MTOM_Data!Z4</f>
        <v>10.395371969988885</v>
      </c>
      <c r="AA4" s="7">
        <f>'24MS_Data'!AA4-MTOM_Data!AA4</f>
        <v>0</v>
      </c>
      <c r="AB4" s="7">
        <f>'24MS_Data'!AB4-MTOM_Data!AB4</f>
        <v>9.2993388429752635</v>
      </c>
      <c r="AC4" s="7">
        <f>'24MS_Data'!AC4-MTOM_Data!AC4</f>
        <v>0</v>
      </c>
      <c r="AD4" s="6">
        <f>'24MS_Data'!AD4-MTOM_Data!AD4</f>
        <v>0.17944022873552967</v>
      </c>
      <c r="AE4" s="7">
        <f>'24MS_Data'!AE4-MTOM_Data!AE4</f>
        <v>16.489250043217908</v>
      </c>
      <c r="AF4" s="7">
        <f>'24MS_Data'!AF4-MTOM_Data!AF4</f>
        <v>17.830361545278947</v>
      </c>
      <c r="AG4" s="7">
        <f>'24MS_Data'!AG4-MTOM_Data!AG4</f>
        <v>0</v>
      </c>
      <c r="AH4" s="7">
        <f>'24MS_Data'!AH4-MTOM_Data!AH4</f>
        <v>1.8660587526913019E-2</v>
      </c>
      <c r="AI4" s="7">
        <f>'24MS_Data'!AI4-MTOM_Data!AI4</f>
        <v>3.3230662666028365E-10</v>
      </c>
      <c r="AJ4" s="8">
        <f>'24MS_Data'!AJ4-MTOM_Data!AJ4</f>
        <v>0</v>
      </c>
      <c r="AK4" s="7">
        <f>'24MS_Data'!AK4-MTOM_Data!AK4</f>
        <v>-1.5643308870494366E-9</v>
      </c>
      <c r="AL4" s="7">
        <f>'24MS_Data'!AL4-MTOM_Data!AL4</f>
        <v>1.8139602616429329E-5</v>
      </c>
      <c r="AM4" s="7">
        <f>'24MS_Data'!AM4-MTOM_Data!AM4</f>
        <v>1.4516854067395002</v>
      </c>
      <c r="AN4" s="6">
        <f>'24MS_Data'!AN4-MTOM_Data!AN4</f>
        <v>8.4060047811362892E-10</v>
      </c>
      <c r="AO4" s="7">
        <f>'24MS_Data'!AO4-MTOM_Data!AO4</f>
        <v>-7.704365998506546E-7</v>
      </c>
      <c r="AP4" s="8">
        <f>'24MS_Data'!AP4-MTOM_Data!AP4</f>
        <v>2.36866526392987E-10</v>
      </c>
      <c r="AQ4" s="7">
        <f>'24MS_Data'!AQ4-MTOM_Data!AQ4</f>
        <v>9.2450136435218155E-10</v>
      </c>
      <c r="AR4" s="7">
        <f>'24MS_Data'!AR4-MTOM_Data!AR4</f>
        <v>-3.8661528378725052E-7</v>
      </c>
      <c r="AS4" s="7">
        <f>'24MS_Data'!AS4-MTOM_Data!AS4</f>
        <v>4.9687514547258615E-8</v>
      </c>
      <c r="AT4" s="9">
        <f>'24MS_Data'!AT4-MTOM_Data!AT4</f>
        <v>-1.8357241060584784E-8</v>
      </c>
      <c r="AU4" s="7">
        <f>'24MS_Data'!AU4-MTOM_Data!AU4</f>
        <v>-8.9217792265117168E-8</v>
      </c>
      <c r="AV4" s="9">
        <f>'24MS_Data'!AV4-MTOM_Data!AV4</f>
        <v>-7.7183358371257782E-8</v>
      </c>
    </row>
    <row r="5" spans="1:48" x14ac:dyDescent="0.25">
      <c r="A5" s="49">
        <f>EOMONTH(A4,1)</f>
        <v>44165</v>
      </c>
      <c r="B5" s="10">
        <f>'24MS_Data'!B5-MTOM_Data!B5</f>
        <v>0.4319842560471443</v>
      </c>
      <c r="C5" s="11">
        <f>'24MS_Data'!C5-MTOM_Data!C5</f>
        <v>0</v>
      </c>
      <c r="D5" s="11">
        <f>'24MS_Data'!D5-MTOM_Data!D5</f>
        <v>-6.5994780224642113E-2</v>
      </c>
      <c r="E5" s="11">
        <f>'24MS_Data'!E5-MTOM_Data!E5</f>
        <v>0</v>
      </c>
      <c r="F5" s="10">
        <f>'24MS_Data'!F5-MTOM_Data!F5</f>
        <v>0.93785342972932995</v>
      </c>
      <c r="G5" s="11">
        <f>'24MS_Data'!G5-MTOM_Data!G5</f>
        <v>-6.5994780260020036E-2</v>
      </c>
      <c r="H5" s="11">
        <f>'24MS_Data'!H5-MTOM_Data!H5</f>
        <v>0</v>
      </c>
      <c r="I5" s="11">
        <f>'24MS_Data'!I5-MTOM_Data!I5</f>
        <v>-23.805371900826373</v>
      </c>
      <c r="J5" s="12">
        <f>'24MS_Data'!J5-MTOM_Data!J5</f>
        <v>0</v>
      </c>
      <c r="K5" s="11">
        <f>'24MS_Data'!K5-MTOM_Data!K5</f>
        <v>-1.1279088109095028</v>
      </c>
      <c r="L5" s="11">
        <f>'24MS_Data'!L5-MTOM_Data!L5</f>
        <v>0</v>
      </c>
      <c r="M5" s="11">
        <f>'24MS_Data'!M5-MTOM_Data!M5</f>
        <v>0.58719008264462857</v>
      </c>
      <c r="N5" s="10">
        <f>'24MS_Data'!N5-MTOM_Data!N5</f>
        <v>-2.3401397272755275</v>
      </c>
      <c r="O5" s="11">
        <f>'24MS_Data'!O5-MTOM_Data!O5</f>
        <v>0.587190082602568</v>
      </c>
      <c r="P5" s="11">
        <f>'24MS_Data'!P5-MTOM_Data!P5</f>
        <v>0</v>
      </c>
      <c r="Q5" s="11">
        <f>'24MS_Data'!Q5-MTOM_Data!Q5</f>
        <v>-1.5822506395483416</v>
      </c>
      <c r="R5" s="12">
        <f>'24MS_Data'!R5-MTOM_Data!R5</f>
        <v>0</v>
      </c>
      <c r="S5" s="11">
        <f>'24MS_Data'!S5-MTOM_Data!S5</f>
        <v>-3.4056812259987055</v>
      </c>
      <c r="T5" s="11">
        <f>'24MS_Data'!T5-MTOM_Data!T5</f>
        <v>-26.591758259501887</v>
      </c>
      <c r="U5" s="11">
        <f>'24MS_Data'!U5-MTOM_Data!U5</f>
        <v>0</v>
      </c>
      <c r="V5" s="10">
        <f>'24MS_Data'!V5-MTOM_Data!V5</f>
        <v>-8.1289353792026304</v>
      </c>
      <c r="W5" s="11">
        <f>'24MS_Data'!W5-MTOM_Data!W5</f>
        <v>0</v>
      </c>
      <c r="X5" s="12">
        <f>'24MS_Data'!X5-MTOM_Data!X5</f>
        <v>0.69487609999904931</v>
      </c>
      <c r="Y5" s="11">
        <f>'24MS_Data'!Y5-MTOM_Data!Y5</f>
        <v>0.16426734321976255</v>
      </c>
      <c r="Z5" s="11">
        <f>'24MS_Data'!Z5-MTOM_Data!Z5</f>
        <v>0.69487610000157751</v>
      </c>
      <c r="AA5" s="11">
        <f>'24MS_Data'!AA5-MTOM_Data!AA5</f>
        <v>0</v>
      </c>
      <c r="AB5" s="11">
        <f>'24MS_Data'!AB5-MTOM_Data!AB5</f>
        <v>3.5537190083125836E-3</v>
      </c>
      <c r="AC5" s="11">
        <f>'24MS_Data'!AC5-MTOM_Data!AC5</f>
        <v>0</v>
      </c>
      <c r="AD5" s="10">
        <f>'24MS_Data'!AD5-MTOM_Data!AD5</f>
        <v>-7.8006409593399439E-2</v>
      </c>
      <c r="AE5" s="11">
        <f>'24MS_Data'!AE5-MTOM_Data!AE5</f>
        <v>-7.023776887830536</v>
      </c>
      <c r="AF5" s="11">
        <f>'24MS_Data'!AF5-MTOM_Data!AF5</f>
        <v>-25.384137682522748</v>
      </c>
      <c r="AG5" s="11">
        <f>'24MS_Data'!AG5-MTOM_Data!AG5</f>
        <v>0</v>
      </c>
      <c r="AH5" s="11">
        <f>'24MS_Data'!AH5-MTOM_Data!AH5</f>
        <v>9.9307867501252645E-3</v>
      </c>
      <c r="AI5" s="11">
        <f>'24MS_Data'!AI5-MTOM_Data!AI5</f>
        <v>3.3708147384459153E-10</v>
      </c>
      <c r="AJ5" s="12">
        <f>'24MS_Data'!AJ5-MTOM_Data!AJ5</f>
        <v>0</v>
      </c>
      <c r="AK5" s="11">
        <f>'24MS_Data'!AK5-MTOM_Data!AK5</f>
        <v>-1.1916654329979792E-9</v>
      </c>
      <c r="AL5" s="11">
        <f>'24MS_Data'!AL5-MTOM_Data!AL5</f>
        <v>-4.1924649849534035E-6</v>
      </c>
      <c r="AM5" s="11">
        <f>'24MS_Data'!AM5-MTOM_Data!AM5</f>
        <v>1.5607740244229831</v>
      </c>
      <c r="AN5" s="10">
        <f>'24MS_Data'!AN5-MTOM_Data!AN5</f>
        <v>9.8361851996742189E-10</v>
      </c>
      <c r="AO5" s="11">
        <f>'24MS_Data'!AO5-MTOM_Data!AO5</f>
        <v>-2.9616057872772217E-7</v>
      </c>
      <c r="AP5" s="12">
        <f>'24MS_Data'!AP5-MTOM_Data!AP5</f>
        <v>2.723652414715616E-10</v>
      </c>
      <c r="AQ5" s="11">
        <f>'24MS_Data'!AQ5-MTOM_Data!AQ5</f>
        <v>2.2168933355715126E-12</v>
      </c>
      <c r="AR5" s="11">
        <f>'24MS_Data'!AR5-MTOM_Data!AR5</f>
        <v>1.1680356692522764E-5</v>
      </c>
      <c r="AS5" s="11">
        <f>'24MS_Data'!AS5-MTOM_Data!AS5</f>
        <v>8.0781319411471486E-7</v>
      </c>
      <c r="AT5" s="13">
        <f>'24MS_Data'!AT5-MTOM_Data!AT5</f>
        <v>-1.4291799743659794E-8</v>
      </c>
      <c r="AU5" s="11">
        <f>'24MS_Data'!AU5-MTOM_Data!AU5</f>
        <v>9.6115400083363056E-8</v>
      </c>
      <c r="AV5" s="13">
        <f>'24MS_Data'!AV5-MTOM_Data!AV5</f>
        <v>-9.933137334883213E-8</v>
      </c>
    </row>
    <row r="6" spans="1:48" x14ac:dyDescent="0.25">
      <c r="A6" s="49">
        <f t="shared" ref="A6:A35" si="0">EOMONTH(A5,1)</f>
        <v>44196</v>
      </c>
      <c r="B6" s="10">
        <f>'24MS_Data'!B6-MTOM_Data!B6</f>
        <v>0.55970503461230692</v>
      </c>
      <c r="C6" s="11">
        <f>'24MS_Data'!C6-MTOM_Data!C6</f>
        <v>0</v>
      </c>
      <c r="D6" s="11">
        <f>'24MS_Data'!D6-MTOM_Data!D6</f>
        <v>-7.252793956551784E-2</v>
      </c>
      <c r="E6" s="11">
        <f>'24MS_Data'!E6-MTOM_Data!E6</f>
        <v>0</v>
      </c>
      <c r="F6" s="10">
        <f>'24MS_Data'!F6-MTOM_Data!F6</f>
        <v>1.8705713348390418</v>
      </c>
      <c r="G6" s="11">
        <f>'24MS_Data'!G6-MTOM_Data!G6</f>
        <v>-7.2527939487642357E-2</v>
      </c>
      <c r="H6" s="11">
        <f>'24MS_Data'!H6-MTOM_Data!H6</f>
        <v>0</v>
      </c>
      <c r="I6" s="11">
        <f>'24MS_Data'!I6-MTOM_Data!I6</f>
        <v>-35.735832465441952</v>
      </c>
      <c r="J6" s="12">
        <f>'24MS_Data'!J6-MTOM_Data!J6</f>
        <v>0</v>
      </c>
      <c r="K6" s="11">
        <f>'24MS_Data'!K6-MTOM_Data!K6</f>
        <v>-1.5335836162084888</v>
      </c>
      <c r="L6" s="11">
        <f>'24MS_Data'!L6-MTOM_Data!L6</f>
        <v>0</v>
      </c>
      <c r="M6" s="11">
        <f>'24MS_Data'!M6-MTOM_Data!M6</f>
        <v>0.58842975206612103</v>
      </c>
      <c r="N6" s="10">
        <f>'24MS_Data'!N6-MTOM_Data!N6</f>
        <v>-2.0465899769524185</v>
      </c>
      <c r="O6" s="11">
        <f>'24MS_Data'!O6-MTOM_Data!O6</f>
        <v>0.58842975206612635</v>
      </c>
      <c r="P6" s="11">
        <f>'24MS_Data'!P6-MTOM_Data!P6</f>
        <v>0</v>
      </c>
      <c r="Q6" s="11">
        <f>'24MS_Data'!Q6-MTOM_Data!Q6</f>
        <v>-1.2264542434802639</v>
      </c>
      <c r="R6" s="12">
        <f>'24MS_Data'!R6-MTOM_Data!R6</f>
        <v>0</v>
      </c>
      <c r="S6" s="11">
        <f>'24MS_Data'!S6-MTOM_Data!S6</f>
        <v>-3.4066457021135648</v>
      </c>
      <c r="T6" s="11">
        <f>'24MS_Data'!T6-MTOM_Data!T6</f>
        <v>-19.916973598723757</v>
      </c>
      <c r="U6" s="11">
        <f>'24MS_Data'!U6-MTOM_Data!U6</f>
        <v>0</v>
      </c>
      <c r="V6" s="10">
        <f>'24MS_Data'!V6-MTOM_Data!V6</f>
        <v>-7.7541360547011209</v>
      </c>
      <c r="W6" s="11">
        <f>'24MS_Data'!W6-MTOM_Data!W6</f>
        <v>0</v>
      </c>
      <c r="X6" s="12">
        <f>'24MS_Data'!X6-MTOM_Data!X6</f>
        <v>-4.6280300009833297E-3</v>
      </c>
      <c r="Y6" s="11">
        <f>'24MS_Data'!Y6-MTOM_Data!Y6</f>
        <v>0.16454715991221747</v>
      </c>
      <c r="Z6" s="11">
        <f>'24MS_Data'!Z6-MTOM_Data!Z6</f>
        <v>-4.6280299969154726E-3</v>
      </c>
      <c r="AA6" s="11">
        <f>'24MS_Data'!AA6-MTOM_Data!AA6</f>
        <v>0</v>
      </c>
      <c r="AB6" s="11">
        <f>'24MS_Data'!AB6-MTOM_Data!AB6</f>
        <v>-6.6115702478697358E-4</v>
      </c>
      <c r="AC6" s="11">
        <f>'24MS_Data'!AC6-MTOM_Data!AC6</f>
        <v>0</v>
      </c>
      <c r="AD6" s="10">
        <f>'24MS_Data'!AD6-MTOM_Data!AD6</f>
        <v>-0.46827318311807176</v>
      </c>
      <c r="AE6" s="11">
        <f>'24MS_Data'!AE6-MTOM_Data!AE6</f>
        <v>-41.207471182287918</v>
      </c>
      <c r="AF6" s="11">
        <f>'24MS_Data'!AF6-MTOM_Data!AF6</f>
        <v>-36.961140594315452</v>
      </c>
      <c r="AG6" s="11">
        <f>'24MS_Data'!AG6-MTOM_Data!AG6</f>
        <v>0</v>
      </c>
      <c r="AH6" s="11">
        <f>'24MS_Data'!AH6-MTOM_Data!AH6</f>
        <v>-4.2750608569509296E-2</v>
      </c>
      <c r="AI6" s="11">
        <f>'24MS_Data'!AI6-MTOM_Data!AI6</f>
        <v>1.7746515368344262E-10</v>
      </c>
      <c r="AJ6" s="12">
        <f>'24MS_Data'!AJ6-MTOM_Data!AJ6</f>
        <v>0</v>
      </c>
      <c r="AK6" s="11">
        <f>'24MS_Data'!AK6-MTOM_Data!AK6</f>
        <v>2.6852831069845706E-10</v>
      </c>
      <c r="AL6" s="11">
        <f>'24MS_Data'!AL6-MTOM_Data!AL6</f>
        <v>-1.8050195649266243E-7</v>
      </c>
      <c r="AM6" s="11">
        <f>'24MS_Data'!AM6-MTOM_Data!AM6</f>
        <v>1.9237806948491425</v>
      </c>
      <c r="AN6" s="10">
        <f>'24MS_Data'!AN6-MTOM_Data!AN6</f>
        <v>2.3840129870222881E-10</v>
      </c>
      <c r="AO6" s="11">
        <f>'24MS_Data'!AO6-MTOM_Data!AO6</f>
        <v>1.2522737961262465E-5</v>
      </c>
      <c r="AP6" s="12">
        <f>'24MS_Data'!AP6-MTOM_Data!AP6</f>
        <v>1.6054997331593768E-9</v>
      </c>
      <c r="AQ6" s="11">
        <f>'24MS_Data'!AQ6-MTOM_Data!AQ6</f>
        <v>-1.0737721822806634E-10</v>
      </c>
      <c r="AR6" s="11">
        <f>'24MS_Data'!AR6-MTOM_Data!AR6</f>
        <v>-6.2180333770811558E-7</v>
      </c>
      <c r="AS6" s="11">
        <f>'24MS_Data'!AS6-MTOM_Data!AS6</f>
        <v>-7.5247953645884991E-8</v>
      </c>
      <c r="AT6" s="13">
        <f>'24MS_Data'!AT6-MTOM_Data!AT6</f>
        <v>-2.0429069991223514E-8</v>
      </c>
      <c r="AU6" s="11">
        <f>'24MS_Data'!AU6-MTOM_Data!AU6</f>
        <v>-8.4794010035693645E-8</v>
      </c>
      <c r="AV6" s="13">
        <f>'24MS_Data'!AV6-MTOM_Data!AV6</f>
        <v>-8.514325600117445E-8</v>
      </c>
    </row>
    <row r="7" spans="1:48" x14ac:dyDescent="0.25">
      <c r="A7" s="49">
        <f t="shared" si="0"/>
        <v>44227</v>
      </c>
      <c r="B7" s="10">
        <f>'24MS_Data'!B7-MTOM_Data!B7</f>
        <v>0.68231588574872148</v>
      </c>
      <c r="C7" s="11">
        <f>'24MS_Data'!C7-MTOM_Data!C7</f>
        <v>0</v>
      </c>
      <c r="D7" s="11">
        <f>'24MS_Data'!D7-MTOM_Data!D7</f>
        <v>-7.252793956551784E-2</v>
      </c>
      <c r="E7" s="11">
        <f>'24MS_Data'!E7-MTOM_Data!E7</f>
        <v>0</v>
      </c>
      <c r="F7" s="10">
        <f>'24MS_Data'!F7-MTOM_Data!F7</f>
        <v>2.1610006416931355</v>
      </c>
      <c r="G7" s="11">
        <f>'24MS_Data'!G7-MTOM_Data!G7</f>
        <v>-7.2527939459618551E-2</v>
      </c>
      <c r="H7" s="11">
        <f>'24MS_Data'!H7-MTOM_Data!H7</f>
        <v>0</v>
      </c>
      <c r="I7" s="11">
        <f>'24MS_Data'!I7-MTOM_Data!I7</f>
        <v>-11.201404958677593</v>
      </c>
      <c r="J7" s="12">
        <f>'24MS_Data'!J7-MTOM_Data!J7</f>
        <v>0</v>
      </c>
      <c r="K7" s="11">
        <f>'24MS_Data'!K7-MTOM_Data!K7</f>
        <v>-1.9612605118309148</v>
      </c>
      <c r="L7" s="11">
        <f>'24MS_Data'!L7-MTOM_Data!L7</f>
        <v>0</v>
      </c>
      <c r="M7" s="11">
        <f>'24MS_Data'!M7-MTOM_Data!M7</f>
        <v>0.58842975206612103</v>
      </c>
      <c r="N7" s="10">
        <f>'24MS_Data'!N7-MTOM_Data!N7</f>
        <v>6.1317986387621204E-2</v>
      </c>
      <c r="O7" s="11">
        <f>'24MS_Data'!O7-MTOM_Data!O7</f>
        <v>0.58842975205561387</v>
      </c>
      <c r="P7" s="11">
        <f>'24MS_Data'!P7-MTOM_Data!P7</f>
        <v>0</v>
      </c>
      <c r="Q7" s="11">
        <f>'24MS_Data'!Q7-MTOM_Data!Q7</f>
        <v>-13.267008890148094</v>
      </c>
      <c r="R7" s="12">
        <f>'24MS_Data'!R7-MTOM_Data!R7</f>
        <v>0</v>
      </c>
      <c r="S7" s="11">
        <f>'24MS_Data'!S7-MTOM_Data!S7</f>
        <v>-3.4066457020826419</v>
      </c>
      <c r="T7" s="11">
        <f>'24MS_Data'!T7-MTOM_Data!T7</f>
        <v>-215.75494380815149</v>
      </c>
      <c r="U7" s="11">
        <f>'24MS_Data'!U7-MTOM_Data!U7</f>
        <v>0</v>
      </c>
      <c r="V7" s="10">
        <f>'24MS_Data'!V7-MTOM_Data!V7</f>
        <v>-7.4097497345464944</v>
      </c>
      <c r="W7" s="11">
        <f>'24MS_Data'!W7-MTOM_Data!W7</f>
        <v>0</v>
      </c>
      <c r="X7" s="12">
        <f>'24MS_Data'!X7-MTOM_Data!X7</f>
        <v>-4.6280300009833297E-3</v>
      </c>
      <c r="Y7" s="11">
        <f>'24MS_Data'!Y7-MTOM_Data!Y7</f>
        <v>0.16532579572140094</v>
      </c>
      <c r="Z7" s="11">
        <f>'24MS_Data'!Z7-MTOM_Data!Z7</f>
        <v>-4.6280300039232003E-3</v>
      </c>
      <c r="AA7" s="11">
        <f>'24MS_Data'!AA7-MTOM_Data!AA7</f>
        <v>0</v>
      </c>
      <c r="AB7" s="11">
        <f>'24MS_Data'!AB7-MTOM_Data!AB7</f>
        <v>-6.6115702478697358E-4</v>
      </c>
      <c r="AC7" s="11">
        <f>'24MS_Data'!AC7-MTOM_Data!AC7</f>
        <v>0</v>
      </c>
      <c r="AD7" s="10">
        <f>'24MS_Data'!AD7-MTOM_Data!AD7</f>
        <v>-0.74953844323636076</v>
      </c>
      <c r="AE7" s="11">
        <f>'24MS_Data'!AE7-MTOM_Data!AE7</f>
        <v>-63.833060995324558</v>
      </c>
      <c r="AF7" s="11">
        <f>'24MS_Data'!AF7-MTOM_Data!AF7</f>
        <v>-24.468320511480158</v>
      </c>
      <c r="AG7" s="11">
        <f>'24MS_Data'!AG7-MTOM_Data!AG7</f>
        <v>0</v>
      </c>
      <c r="AH7" s="11">
        <f>'24MS_Data'!AH7-MTOM_Data!AH7</f>
        <v>-3.2683482900965011E-2</v>
      </c>
      <c r="AI7" s="11">
        <f>'24MS_Data'!AI7-MTOM_Data!AI7</f>
        <v>7.0633632276440039E-10</v>
      </c>
      <c r="AJ7" s="12">
        <f>'24MS_Data'!AJ7-MTOM_Data!AJ7</f>
        <v>0</v>
      </c>
      <c r="AK7" s="11">
        <f>'24MS_Data'!AK7-MTOM_Data!AK7</f>
        <v>-1.1148131306981668E-9</v>
      </c>
      <c r="AL7" s="11">
        <f>'24MS_Data'!AL7-MTOM_Data!AL7</f>
        <v>-5.641602911055088E-6</v>
      </c>
      <c r="AM7" s="11">
        <f>'24MS_Data'!AM7-MTOM_Data!AM7</f>
        <v>1.7889980605121423</v>
      </c>
      <c r="AN7" s="10">
        <f>'24MS_Data'!AN7-MTOM_Data!AN7</f>
        <v>3.0274804885266349E-10</v>
      </c>
      <c r="AO7" s="11">
        <f>'24MS_Data'!AO7-MTOM_Data!AO7</f>
        <v>-5.0301314331591129E-6</v>
      </c>
      <c r="AP7" s="12">
        <f>'24MS_Data'!AP7-MTOM_Data!AP7</f>
        <v>-5.227320798439905E-10</v>
      </c>
      <c r="AQ7" s="11">
        <f>'24MS_Data'!AQ7-MTOM_Data!AQ7</f>
        <v>1.7621459846850485E-12</v>
      </c>
      <c r="AR7" s="11">
        <f>'24MS_Data'!AR7-MTOM_Data!AR7</f>
        <v>-4.9958471208810806E-6</v>
      </c>
      <c r="AS7" s="11">
        <f>'24MS_Data'!AS7-MTOM_Data!AS7</f>
        <v>-2.6447014533914626E-7</v>
      </c>
      <c r="AT7" s="13">
        <f>'24MS_Data'!AT7-MTOM_Data!AT7</f>
        <v>-3.9453880162909627E-9</v>
      </c>
      <c r="AU7" s="11">
        <f>'24MS_Data'!AU7-MTOM_Data!AU7</f>
        <v>-1.2834789231419563E-8</v>
      </c>
      <c r="AV7" s="13">
        <f>'24MS_Data'!AV7-MTOM_Data!AV7</f>
        <v>5.8775185607373714E-8</v>
      </c>
    </row>
    <row r="8" spans="1:48" x14ac:dyDescent="0.25">
      <c r="A8" s="49">
        <f t="shared" si="0"/>
        <v>44255</v>
      </c>
      <c r="B8" s="10">
        <f>'24MS_Data'!B8-MTOM_Data!B8</f>
        <v>0.77695665980445483</v>
      </c>
      <c r="C8" s="11">
        <f>'24MS_Data'!C8-MTOM_Data!C8</f>
        <v>0</v>
      </c>
      <c r="D8" s="11">
        <f>'24MS_Data'!D8-MTOM_Data!D8</f>
        <v>-6.2928461543002356E-2</v>
      </c>
      <c r="E8" s="11">
        <f>'24MS_Data'!E8-MTOM_Data!E8</f>
        <v>0</v>
      </c>
      <c r="F8" s="10">
        <f>'24MS_Data'!F8-MTOM_Data!F8</f>
        <v>2.4172815964166148</v>
      </c>
      <c r="G8" s="11">
        <f>'24MS_Data'!G8-MTOM_Data!G8</f>
        <v>-6.2928461512825606E-2</v>
      </c>
      <c r="H8" s="11">
        <f>'24MS_Data'!H8-MTOM_Data!H8</f>
        <v>0</v>
      </c>
      <c r="I8" s="11">
        <f>'24MS_Data'!I8-MTOM_Data!I8</f>
        <v>-9.9857851239668847</v>
      </c>
      <c r="J8" s="12">
        <f>'24MS_Data'!J8-MTOM_Data!J8</f>
        <v>0</v>
      </c>
      <c r="K8" s="11">
        <f>'24MS_Data'!K8-MTOM_Data!K8</f>
        <v>-2.3761522376262292</v>
      </c>
      <c r="L8" s="11">
        <f>'24MS_Data'!L8-MTOM_Data!L8</f>
        <v>0</v>
      </c>
      <c r="M8" s="11">
        <f>'24MS_Data'!M8-MTOM_Data!M8</f>
        <v>0.53471074380165629</v>
      </c>
      <c r="N8" s="10">
        <f>'24MS_Data'!N8-MTOM_Data!N8</f>
        <v>1.9801731865090915</v>
      </c>
      <c r="O8" s="11">
        <f>'24MS_Data'!O8-MTOM_Data!O8</f>
        <v>0.53471074379606165</v>
      </c>
      <c r="P8" s="11">
        <f>'24MS_Data'!P8-MTOM_Data!P8</f>
        <v>0</v>
      </c>
      <c r="Q8" s="11">
        <f>'24MS_Data'!Q8-MTOM_Data!Q8</f>
        <v>-11.981567949259809</v>
      </c>
      <c r="R8" s="12">
        <f>'24MS_Data'!R8-MTOM_Data!R8</f>
        <v>0</v>
      </c>
      <c r="S8" s="11">
        <f>'24MS_Data'!S8-MTOM_Data!S8</f>
        <v>-3.4039451322778405</v>
      </c>
      <c r="T8" s="11">
        <f>'24MS_Data'!T8-MTOM_Data!T8</f>
        <v>-215.77609109611012</v>
      </c>
      <c r="U8" s="11">
        <f>'24MS_Data'!U8-MTOM_Data!U8</f>
        <v>0</v>
      </c>
      <c r="V8" s="10">
        <f>'24MS_Data'!V8-MTOM_Data!V8</f>
        <v>-7.2177054705007322</v>
      </c>
      <c r="W8" s="11">
        <f>'24MS_Data'!W8-MTOM_Data!W8</f>
        <v>0</v>
      </c>
      <c r="X8" s="12">
        <f>'24MS_Data'!X8-MTOM_Data!X8</f>
        <v>3.884359999113185E-3</v>
      </c>
      <c r="Y8" s="11">
        <f>'24MS_Data'!Y8-MTOM_Data!Y8</f>
        <v>0.1654543693348387</v>
      </c>
      <c r="Z8" s="11">
        <f>'24MS_Data'!Z8-MTOM_Data!Z8</f>
        <v>3.8843600035818326E-3</v>
      </c>
      <c r="AA8" s="11">
        <f>'24MS_Data'!AA8-MTOM_Data!AA8</f>
        <v>0</v>
      </c>
      <c r="AB8" s="11">
        <f>'24MS_Data'!AB8-MTOM_Data!AB8</f>
        <v>1.9834710744177642E-3</v>
      </c>
      <c r="AC8" s="11">
        <f>'24MS_Data'!AC8-MTOM_Data!AC8</f>
        <v>0</v>
      </c>
      <c r="AD8" s="10">
        <f>'24MS_Data'!AD8-MTOM_Data!AD8</f>
        <v>-1.7941929735211488</v>
      </c>
      <c r="AE8" s="11">
        <f>'24MS_Data'!AE8-MTOM_Data!AE8</f>
        <v>-148.91831871104114</v>
      </c>
      <c r="AF8" s="11">
        <f>'24MS_Data'!AF8-MTOM_Data!AF8</f>
        <v>-21.967399439277415</v>
      </c>
      <c r="AG8" s="11">
        <f>'24MS_Data'!AG8-MTOM_Data!AG8</f>
        <v>0</v>
      </c>
      <c r="AH8" s="11">
        <f>'24MS_Data'!AH8-MTOM_Data!AH8</f>
        <v>-7.5321014631033023E-2</v>
      </c>
      <c r="AI8" s="11">
        <f>'24MS_Data'!AI8-MTOM_Data!AI8</f>
        <v>70.000000000254886</v>
      </c>
      <c r="AJ8" s="12">
        <f>'24MS_Data'!AJ8-MTOM_Data!AJ8</f>
        <v>0</v>
      </c>
      <c r="AK8" s="11">
        <f>'24MS_Data'!AK8-MTOM_Data!AK8</f>
        <v>0.75424357872702785</v>
      </c>
      <c r="AL8" s="11">
        <f>'24MS_Data'!AL8-MTOM_Data!AL8</f>
        <v>1.082313247025013E-6</v>
      </c>
      <c r="AM8" s="11">
        <f>'24MS_Data'!AM8-MTOM_Data!AM8</f>
        <v>1.6263804285840422</v>
      </c>
      <c r="AN8" s="10">
        <f>'24MS_Data'!AN8-MTOM_Data!AN8</f>
        <v>2.9490365704987198E-10</v>
      </c>
      <c r="AO8" s="11">
        <f>'24MS_Data'!AO8-MTOM_Data!AO8</f>
        <v>-6.1804894357919693E-7</v>
      </c>
      <c r="AP8" s="12">
        <f>'24MS_Data'!AP8-MTOM_Data!AP8</f>
        <v>3.2081004519568523E-11</v>
      </c>
      <c r="AQ8" s="11">
        <f>'24MS_Data'!AQ8-MTOM_Data!AQ8</f>
        <v>1.3642420526593924E-12</v>
      </c>
      <c r="AR8" s="11">
        <f>'24MS_Data'!AR8-MTOM_Data!AR8</f>
        <v>-1.4551915228366852E-7</v>
      </c>
      <c r="AS8" s="11">
        <f>'24MS_Data'!AS8-MTOM_Data!AS8</f>
        <v>-2.1940650185570121E-8</v>
      </c>
      <c r="AT8" s="13">
        <f>'24MS_Data'!AT8-MTOM_Data!AT8</f>
        <v>-5.411493475548923E-9</v>
      </c>
      <c r="AU8" s="11">
        <f>'24MS_Data'!AU8-MTOM_Data!AU8</f>
        <v>-4.0392478695139289E-8</v>
      </c>
      <c r="AV8" s="13">
        <f>'24MS_Data'!AV8-MTOM_Data!AV8</f>
        <v>7.4505805969238281E-8</v>
      </c>
    </row>
    <row r="9" spans="1:48" x14ac:dyDescent="0.25">
      <c r="A9" s="49">
        <f t="shared" si="0"/>
        <v>44286</v>
      </c>
      <c r="B9" s="10">
        <f>'24MS_Data'!B9-MTOM_Data!B9</f>
        <v>0.6009207365614202</v>
      </c>
      <c r="C9" s="11">
        <f>'24MS_Data'!C9-MTOM_Data!C9</f>
        <v>0</v>
      </c>
      <c r="D9" s="11">
        <f>'24MS_Data'!D9-MTOM_Data!D9</f>
        <v>1.0174720604345211</v>
      </c>
      <c r="E9" s="11">
        <f>'24MS_Data'!E9-MTOM_Data!E9</f>
        <v>0</v>
      </c>
      <c r="F9" s="10">
        <f>'24MS_Data'!F9-MTOM_Data!F9</f>
        <v>1.5733284189291226</v>
      </c>
      <c r="G9" s="11">
        <f>'24MS_Data'!G9-MTOM_Data!G9</f>
        <v>1.0174720603854297</v>
      </c>
      <c r="H9" s="11">
        <f>'24MS_Data'!H9-MTOM_Data!H9</f>
        <v>0</v>
      </c>
      <c r="I9" s="11">
        <f>'24MS_Data'!I9-MTOM_Data!I9</f>
        <v>32.899917355372239</v>
      </c>
      <c r="J9" s="12">
        <f>'24MS_Data'!J9-MTOM_Data!J9</f>
        <v>0</v>
      </c>
      <c r="K9" s="11">
        <f>'24MS_Data'!K9-MTOM_Data!K9</f>
        <v>-2.8429088083412353</v>
      </c>
      <c r="L9" s="11">
        <f>'24MS_Data'!L9-MTOM_Data!L9</f>
        <v>0</v>
      </c>
      <c r="M9" s="11">
        <f>'24MS_Data'!M9-MTOM_Data!M9</f>
        <v>0.58842975206612103</v>
      </c>
      <c r="N9" s="10">
        <f>'24MS_Data'!N9-MTOM_Data!N9</f>
        <v>2.2709548653983802</v>
      </c>
      <c r="O9" s="11">
        <f>'24MS_Data'!O9-MTOM_Data!O9</f>
        <v>0.58842975209690707</v>
      </c>
      <c r="P9" s="11">
        <f>'24MS_Data'!P9-MTOM_Data!P9</f>
        <v>0</v>
      </c>
      <c r="Q9" s="11">
        <f>'24MS_Data'!Q9-MTOM_Data!Q9</f>
        <v>-1.5150634054749226</v>
      </c>
      <c r="R9" s="12">
        <f>'24MS_Data'!R9-MTOM_Data!R9</f>
        <v>-1.5150634054762016</v>
      </c>
      <c r="S9" s="11">
        <f>'24MS_Data'!S9-MTOM_Data!S9</f>
        <v>-3.4066457023000112</v>
      </c>
      <c r="T9" s="11">
        <f>'24MS_Data'!T9-MTOM_Data!T9</f>
        <v>-24.562332131450773</v>
      </c>
      <c r="U9" s="11">
        <f>'24MS_Data'!U9-MTOM_Data!U9</f>
        <v>0</v>
      </c>
      <c r="V9" s="10">
        <f>'24MS_Data'!V9-MTOM_Data!V9</f>
        <v>-6.8219468772158507</v>
      </c>
      <c r="W9" s="11">
        <f>'24MS_Data'!W9-MTOM_Data!W9</f>
        <v>0</v>
      </c>
      <c r="X9" s="12">
        <f>'24MS_Data'!X9-MTOM_Data!X9</f>
        <v>-4.6280300009833297E-3</v>
      </c>
      <c r="Y9" s="11">
        <f>'24MS_Data'!Y9-MTOM_Data!Y9</f>
        <v>0.16298113305765582</v>
      </c>
      <c r="Z9" s="11">
        <f>'24MS_Data'!Z9-MTOM_Data!Z9</f>
        <v>-4.6280300107426342E-3</v>
      </c>
      <c r="AA9" s="11">
        <f>'24MS_Data'!AA9-MTOM_Data!AA9</f>
        <v>0</v>
      </c>
      <c r="AB9" s="11">
        <f>'24MS_Data'!AB9-MTOM_Data!AB9</f>
        <v>-6.6115702478697358E-4</v>
      </c>
      <c r="AC9" s="11">
        <f>'24MS_Data'!AC9-MTOM_Data!AC9</f>
        <v>0</v>
      </c>
      <c r="AD9" s="10">
        <f>'24MS_Data'!AD9-MTOM_Data!AD9</f>
        <v>-1.4783678556700579</v>
      </c>
      <c r="AE9" s="11">
        <f>'24MS_Data'!AE9-MTOM_Data!AE9</f>
        <v>-119.70399534600801</v>
      </c>
      <c r="AF9" s="11">
        <f>'24MS_Data'!AF9-MTOM_Data!AF9</f>
        <v>31.388977264313951</v>
      </c>
      <c r="AG9" s="11">
        <f>'24MS_Data'!AG9-MTOM_Data!AG9</f>
        <v>0</v>
      </c>
      <c r="AH9" s="11">
        <f>'24MS_Data'!AH9-MTOM_Data!AH9</f>
        <v>-0.16249195295684693</v>
      </c>
      <c r="AI9" s="11">
        <f>'24MS_Data'!AI9-MTOM_Data!AI9</f>
        <v>1.6484591469634324E-11</v>
      </c>
      <c r="AJ9" s="12">
        <f>'24MS_Data'!AJ9-MTOM_Data!AJ9</f>
        <v>0</v>
      </c>
      <c r="AK9" s="11">
        <f>'24MS_Data'!AK9-MTOM_Data!AK9</f>
        <v>0.75711408264191959</v>
      </c>
      <c r="AL9" s="11">
        <f>'24MS_Data'!AL9-MTOM_Data!AL9</f>
        <v>2.4283071979880333E-6</v>
      </c>
      <c r="AM9" s="11">
        <f>'24MS_Data'!AM9-MTOM_Data!AM9</f>
        <v>1.7617910537117041</v>
      </c>
      <c r="AN9" s="10">
        <f>'24MS_Data'!AN9-MTOM_Data!AN9</f>
        <v>-9.4451024779118598E-10</v>
      </c>
      <c r="AO9" s="11">
        <f>'24MS_Data'!AO9-MTOM_Data!AO9</f>
        <v>-5.5995769798755646E-8</v>
      </c>
      <c r="AP9" s="12">
        <f>'24MS_Data'!AP9-MTOM_Data!AP9</f>
        <v>-1.4055956398806302E-10</v>
      </c>
      <c r="AQ9" s="11">
        <f>'24MS_Data'!AQ9-MTOM_Data!AQ9</f>
        <v>6.4858340920181945E-11</v>
      </c>
      <c r="AR9" s="11">
        <f>'24MS_Data'!AR9-MTOM_Data!AR9</f>
        <v>1.3242242857813835E-6</v>
      </c>
      <c r="AS9" s="11">
        <f>'24MS_Data'!AS9-MTOM_Data!AS9</f>
        <v>-1.391163095831871E-8</v>
      </c>
      <c r="AT9" s="13">
        <f>'24MS_Data'!AT9-MTOM_Data!AT9</f>
        <v>5.2514224080368876E-9</v>
      </c>
      <c r="AU9" s="11">
        <f>'24MS_Data'!AU9-MTOM_Data!AU9</f>
        <v>5.1193637773394585E-8</v>
      </c>
      <c r="AV9" s="13">
        <f>'24MS_Data'!AV9-MTOM_Data!AV9</f>
        <v>-3.7922291085124016E-8</v>
      </c>
    </row>
    <row r="10" spans="1:48" x14ac:dyDescent="0.25">
      <c r="A10" s="49">
        <f t="shared" si="0"/>
        <v>44316</v>
      </c>
      <c r="B10" s="10">
        <f>'24MS_Data'!B10-MTOM_Data!B10</f>
        <v>4.9441067588104488</v>
      </c>
      <c r="C10" s="11">
        <f>'24MS_Data'!C10-MTOM_Data!C10</f>
        <v>0</v>
      </c>
      <c r="D10" s="11">
        <f>'24MS_Data'!D10-MTOM_Data!D10</f>
        <v>-17.474999136662142</v>
      </c>
      <c r="E10" s="11">
        <f>'24MS_Data'!E10-MTOM_Data!E10</f>
        <v>0</v>
      </c>
      <c r="F10" s="10">
        <f>'24MS_Data'!F10-MTOM_Data!F10</f>
        <v>0.29414087821987778</v>
      </c>
      <c r="G10" s="11">
        <f>'24MS_Data'!G10-MTOM_Data!G10</f>
        <v>-17.474999136704085</v>
      </c>
      <c r="H10" s="11">
        <f>'24MS_Data'!H10-MTOM_Data!H10</f>
        <v>0</v>
      </c>
      <c r="I10" s="11">
        <f>'24MS_Data'!I10-MTOM_Data!I10</f>
        <v>31.836694214875813</v>
      </c>
      <c r="J10" s="12">
        <f>'24MS_Data'!J10-MTOM_Data!J10</f>
        <v>0</v>
      </c>
      <c r="K10" s="11">
        <f>'24MS_Data'!K10-MTOM_Data!K10</f>
        <v>-6.9449003965582961</v>
      </c>
      <c r="L10" s="11">
        <f>'24MS_Data'!L10-MTOM_Data!L10</f>
        <v>0</v>
      </c>
      <c r="M10" s="11">
        <f>'24MS_Data'!M10-MTOM_Data!M10</f>
        <v>5.5371900826446456</v>
      </c>
      <c r="N10" s="10">
        <f>'24MS_Data'!N10-MTOM_Data!N10</f>
        <v>3.7873961873274311</v>
      </c>
      <c r="O10" s="11">
        <f>'24MS_Data'!O10-MTOM_Data!O10</f>
        <v>5.5371900826445639</v>
      </c>
      <c r="P10" s="11">
        <f>'24MS_Data'!P10-MTOM_Data!P10</f>
        <v>0</v>
      </c>
      <c r="Q10" s="11">
        <f>'24MS_Data'!Q10-MTOM_Data!Q10</f>
        <v>-5.0096415356203252</v>
      </c>
      <c r="R10" s="12">
        <f>'24MS_Data'!R10-MTOM_Data!R10</f>
        <v>-5.0096415356237358</v>
      </c>
      <c r="S10" s="11">
        <f>'24MS_Data'!S10-MTOM_Data!S10</f>
        <v>-3.4036249821319871</v>
      </c>
      <c r="T10" s="11">
        <f>'24MS_Data'!T10-MTOM_Data!T10</f>
        <v>-84.19343513486001</v>
      </c>
      <c r="U10" s="11">
        <f>'24MS_Data'!U10-MTOM_Data!U10</f>
        <v>0</v>
      </c>
      <c r="V10" s="10">
        <f>'24MS_Data'!V10-MTOM_Data!V10</f>
        <v>-5.9632252195233377</v>
      </c>
      <c r="W10" s="11">
        <f>'24MS_Data'!W10-MTOM_Data!W10</f>
        <v>0</v>
      </c>
      <c r="X10" s="12">
        <f>'24MS_Data'!X10-MTOM_Data!X10</f>
        <v>4.8760999990520304E-3</v>
      </c>
      <c r="Y10" s="11">
        <f>'24MS_Data'!Y10-MTOM_Data!Y10</f>
        <v>0.15797682754873676</v>
      </c>
      <c r="Z10" s="11">
        <f>'24MS_Data'!Z10-MTOM_Data!Z10</f>
        <v>4.8761000108044072E-3</v>
      </c>
      <c r="AA10" s="11">
        <f>'24MS_Data'!AA10-MTOM_Data!AA10</f>
        <v>0</v>
      </c>
      <c r="AB10" s="11">
        <f>'24MS_Data'!AB10-MTOM_Data!AB10</f>
        <v>3.5537190083125836E-3</v>
      </c>
      <c r="AC10" s="11">
        <f>'24MS_Data'!AC10-MTOM_Data!AC10</f>
        <v>0</v>
      </c>
      <c r="AD10" s="10">
        <f>'24MS_Data'!AD10-MTOM_Data!AD10</f>
        <v>-1.8701013793511265</v>
      </c>
      <c r="AE10" s="11">
        <f>'24MS_Data'!AE10-MTOM_Data!AE10</f>
        <v>-150.17685609675937</v>
      </c>
      <c r="AF10" s="11">
        <f>'24MS_Data'!AF10-MTOM_Data!AF10</f>
        <v>26.830390637430241</v>
      </c>
      <c r="AG10" s="11">
        <f>'24MS_Data'!AG10-MTOM_Data!AG10</f>
        <v>0</v>
      </c>
      <c r="AH10" s="11">
        <f>'24MS_Data'!AH10-MTOM_Data!AH10</f>
        <v>-0.25892053634770207</v>
      </c>
      <c r="AI10" s="11">
        <f>'24MS_Data'!AI10-MTOM_Data!AI10</f>
        <v>60.000000000335149</v>
      </c>
      <c r="AJ10" s="12">
        <f>'24MS_Data'!AJ10-MTOM_Data!AJ10</f>
        <v>0</v>
      </c>
      <c r="AK10" s="11">
        <f>'24MS_Data'!AK10-MTOM_Data!AK10</f>
        <v>1.4278377508883295</v>
      </c>
      <c r="AL10" s="11">
        <f>'24MS_Data'!AL10-MTOM_Data!AL10</f>
        <v>9.2231784947216511E-5</v>
      </c>
      <c r="AM10" s="11">
        <f>'24MS_Data'!AM10-MTOM_Data!AM10</f>
        <v>1.9617334828623711</v>
      </c>
      <c r="AN10" s="10">
        <f>'24MS_Data'!AN10-MTOM_Data!AN10</f>
        <v>1.3263843356980942E-9</v>
      </c>
      <c r="AO10" s="11">
        <f>'24MS_Data'!AO10-MTOM_Data!AO10</f>
        <v>4.8044952563941479E-5</v>
      </c>
      <c r="AP10" s="12">
        <f>'24MS_Data'!AP10-MTOM_Data!AP10</f>
        <v>6.5653580350044649E-9</v>
      </c>
      <c r="AQ10" s="11">
        <f>'24MS_Data'!AQ10-MTOM_Data!AQ10</f>
        <v>1.1382326192688197E-9</v>
      </c>
      <c r="AR10" s="11">
        <f>'24MS_Data'!AR10-MTOM_Data!AR10</f>
        <v>4.891655407845974E-5</v>
      </c>
      <c r="AS10" s="11">
        <f>'24MS_Data'!AS10-MTOM_Data!AS10</f>
        <v>3.3576434361748397E-6</v>
      </c>
      <c r="AT10" s="13">
        <f>'24MS_Data'!AT10-MTOM_Data!AT10</f>
        <v>1.1314114090055227E-9</v>
      </c>
      <c r="AU10" s="11">
        <f>'24MS_Data'!AU10-MTOM_Data!AU10</f>
        <v>-6.1612809076905251E-8</v>
      </c>
      <c r="AV10" s="13">
        <f>'24MS_Data'!AV10-MTOM_Data!AV10</f>
        <v>4.4528860598802567E-9</v>
      </c>
    </row>
    <row r="11" spans="1:48" x14ac:dyDescent="0.25">
      <c r="A11" s="49">
        <f t="shared" si="0"/>
        <v>44347</v>
      </c>
      <c r="B11" s="10">
        <f>'24MS_Data'!B11-MTOM_Data!B11</f>
        <v>7.2493517753737251</v>
      </c>
      <c r="C11" s="11">
        <f>'24MS_Data'!C11-MTOM_Data!C11</f>
        <v>0</v>
      </c>
      <c r="D11" s="11">
        <f>'24MS_Data'!D11-MTOM_Data!D11</f>
        <v>-17.660832441217487</v>
      </c>
      <c r="E11" s="11">
        <f>'24MS_Data'!E11-MTOM_Data!E11</f>
        <v>0</v>
      </c>
      <c r="F11" s="10">
        <f>'24MS_Data'!F11-MTOM_Data!F11</f>
        <v>-0.26646667893146514</v>
      </c>
      <c r="G11" s="11">
        <f>'24MS_Data'!G11-MTOM_Data!G11</f>
        <v>-17.660832441181356</v>
      </c>
      <c r="H11" s="11">
        <f>'24MS_Data'!H11-MTOM_Data!H11</f>
        <v>0</v>
      </c>
      <c r="I11" s="11">
        <f>'24MS_Data'!I11-MTOM_Data!I11</f>
        <v>4.3009917355606575</v>
      </c>
      <c r="J11" s="12">
        <f>'24MS_Data'!J11-MTOM_Data!J11</f>
        <v>0</v>
      </c>
      <c r="K11" s="11">
        <f>'24MS_Data'!K11-MTOM_Data!K11</f>
        <v>-10.139241016071537</v>
      </c>
      <c r="L11" s="11">
        <f>'24MS_Data'!L11-MTOM_Data!L11</f>
        <v>0</v>
      </c>
      <c r="M11" s="11">
        <f>'24MS_Data'!M11-MTOM_Data!M11</f>
        <v>6.3140495867768678</v>
      </c>
      <c r="N11" s="10">
        <f>'24MS_Data'!N11-MTOM_Data!N11</f>
        <v>13.466817318808353</v>
      </c>
      <c r="O11" s="11">
        <f>'24MS_Data'!O11-MTOM_Data!O11</f>
        <v>6.3140495868189248</v>
      </c>
      <c r="P11" s="11">
        <f>'24MS_Data'!P11-MTOM_Data!P11</f>
        <v>0</v>
      </c>
      <c r="Q11" s="11">
        <f>'24MS_Data'!Q11-MTOM_Data!Q11</f>
        <v>-67.904061246459975</v>
      </c>
      <c r="R11" s="12">
        <f>'24MS_Data'!R11-MTOM_Data!R11</f>
        <v>-68.001130009867722</v>
      </c>
      <c r="S11" s="11">
        <f>'24MS_Data'!S11-MTOM_Data!S11</f>
        <v>-3.4066457021081078</v>
      </c>
      <c r="T11" s="11">
        <f>'24MS_Data'!T11-MTOM_Data!T11</f>
        <v>-1104.2291137707757</v>
      </c>
      <c r="U11" s="11">
        <f>'24MS_Data'!U11-MTOM_Data!U11</f>
        <v>-12.30765505350247</v>
      </c>
      <c r="V11" s="10">
        <f>'24MS_Data'!V11-MTOM_Data!V11</f>
        <v>-17.612970404477892</v>
      </c>
      <c r="W11" s="11">
        <f>'24MS_Data'!W11-MTOM_Data!W11</f>
        <v>0</v>
      </c>
      <c r="X11" s="12">
        <f>'24MS_Data'!X11-MTOM_Data!X11</f>
        <v>29.195371969999034</v>
      </c>
      <c r="Y11" s="11">
        <f>'24MS_Data'!Y11-MTOM_Data!Y11</f>
        <v>2.6202894181624288</v>
      </c>
      <c r="Z11" s="11">
        <f>'24MS_Data'!Z11-MTOM_Data!Z11</f>
        <v>29.19537197000659</v>
      </c>
      <c r="AA11" s="11">
        <f>'24MS_Data'!AA11-MTOM_Data!AA11</f>
        <v>0</v>
      </c>
      <c r="AB11" s="11">
        <f>'24MS_Data'!AB11-MTOM_Data!AB11</f>
        <v>-6.6115702478697358E-4</v>
      </c>
      <c r="AC11" s="11">
        <f>'24MS_Data'!AC11-MTOM_Data!AC11</f>
        <v>0</v>
      </c>
      <c r="AD11" s="10">
        <f>'24MS_Data'!AD11-MTOM_Data!AD11</f>
        <v>-2.4261572279415304</v>
      </c>
      <c r="AE11" s="11">
        <f>'24MS_Data'!AE11-MTOM_Data!AE11</f>
        <v>-201.81431271731708</v>
      </c>
      <c r="AF11" s="11">
        <f>'24MS_Data'!AF11-MTOM_Data!AF11</f>
        <v>-63.596071127132063</v>
      </c>
      <c r="AG11" s="11">
        <f>'24MS_Data'!AG11-MTOM_Data!AG11</f>
        <v>0</v>
      </c>
      <c r="AH11" s="11">
        <f>'24MS_Data'!AH11-MTOM_Data!AH11</f>
        <v>-0.39851840253629334</v>
      </c>
      <c r="AI11" s="11">
        <f>'24MS_Data'!AI11-MTOM_Data!AI11</f>
        <v>-7.4290994757053568</v>
      </c>
      <c r="AJ11" s="12">
        <f>'24MS_Data'!AJ11-MTOM_Data!AJ11</f>
        <v>0</v>
      </c>
      <c r="AK11" s="11">
        <f>'24MS_Data'!AK11-MTOM_Data!AK11</f>
        <v>1.3628454277404671</v>
      </c>
      <c r="AL11" s="11">
        <f>'24MS_Data'!AL11-MTOM_Data!AL11</f>
        <v>8.8127562776207924E-6</v>
      </c>
      <c r="AM11" s="11">
        <f>'24MS_Data'!AM11-MTOM_Data!AM11</f>
        <v>2.5562006134103399</v>
      </c>
      <c r="AN11" s="10">
        <f>'24MS_Data'!AN11-MTOM_Data!AN11</f>
        <v>6.1504579207394272E-10</v>
      </c>
      <c r="AO11" s="11">
        <f>'24MS_Data'!AO11-MTOM_Data!AO11</f>
        <v>5.5297277867794037E-7</v>
      </c>
      <c r="AP11" s="12">
        <f>'24MS_Data'!AP11-MTOM_Data!AP11</f>
        <v>1.826762741075072E-9</v>
      </c>
      <c r="AQ11" s="11">
        <f>'24MS_Data'!AQ11-MTOM_Data!AQ11</f>
        <v>5.6843418860808015E-12</v>
      </c>
      <c r="AR11" s="11">
        <f>'24MS_Data'!AR11-MTOM_Data!AR11</f>
        <v>-4.5925844460725784E-7</v>
      </c>
      <c r="AS11" s="11">
        <f>'24MS_Data'!AS11-MTOM_Data!AS11</f>
        <v>1.3409589882940054E-8</v>
      </c>
      <c r="AT11" s="13">
        <f>'24MS_Data'!AT11-MTOM_Data!AT11</f>
        <v>8.1690814113244414E-8</v>
      </c>
      <c r="AU11" s="11">
        <f>'24MS_Data'!AU11-MTOM_Data!AU11</f>
        <v>5.0422386266291142E-8</v>
      </c>
      <c r="AV11" s="13">
        <f>'24MS_Data'!AV11-MTOM_Data!AV11</f>
        <v>7.5349817052483559E-8</v>
      </c>
    </row>
    <row r="12" spans="1:48" x14ac:dyDescent="0.25">
      <c r="A12" s="49">
        <f t="shared" si="0"/>
        <v>44377</v>
      </c>
      <c r="B12" s="10">
        <f>'24MS_Data'!B12-MTOM_Data!B12</f>
        <v>-0.33433868110569165</v>
      </c>
      <c r="C12" s="11">
        <f>'24MS_Data'!C12-MTOM_Data!C12</f>
        <v>0</v>
      </c>
      <c r="D12" s="11">
        <f>'24MS_Data'!D12-MTOM_Data!D12</f>
        <v>39.719820833278959</v>
      </c>
      <c r="E12" s="11">
        <f>'24MS_Data'!E12-MTOM_Data!E12</f>
        <v>15.0913675649672</v>
      </c>
      <c r="F12" s="10">
        <f>'24MS_Data'!F12-MTOM_Data!F12</f>
        <v>5.6096226016097717</v>
      </c>
      <c r="G12" s="11">
        <f>'24MS_Data'!G12-MTOM_Data!G12</f>
        <v>39.719820833221831</v>
      </c>
      <c r="H12" s="11">
        <f>'24MS_Data'!H12-MTOM_Data!H12</f>
        <v>0</v>
      </c>
      <c r="I12" s="11">
        <f>'24MS_Data'!I12-MTOM_Data!I12</f>
        <v>-186.77341187153576</v>
      </c>
      <c r="J12" s="12">
        <f>'24MS_Data'!J12-MTOM_Data!J12</f>
        <v>-76.096403377464938</v>
      </c>
      <c r="K12" s="11">
        <f>'24MS_Data'!K12-MTOM_Data!K12</f>
        <v>-11.488769820920425</v>
      </c>
      <c r="L12" s="11">
        <f>'24MS_Data'!L12-MTOM_Data!L12</f>
        <v>0</v>
      </c>
      <c r="M12" s="11">
        <f>'24MS_Data'!M12-MTOM_Data!M12</f>
        <v>5.1239669421487477</v>
      </c>
      <c r="N12" s="10">
        <f>'24MS_Data'!N12-MTOM_Data!N12</f>
        <v>-1.7189073438094056</v>
      </c>
      <c r="O12" s="11">
        <f>'24MS_Data'!O12-MTOM_Data!O12</f>
        <v>5.1239669415603259</v>
      </c>
      <c r="P12" s="11">
        <f>'24MS_Data'!P12-MTOM_Data!P12</f>
        <v>0</v>
      </c>
      <c r="Q12" s="11">
        <f>'24MS_Data'!Q12-MTOM_Data!Q12</f>
        <v>118.72349072335611</v>
      </c>
      <c r="R12" s="12">
        <f>'24MS_Data'!R12-MTOM_Data!R12</f>
        <v>0</v>
      </c>
      <c r="S12" s="11">
        <f>'24MS_Data'!S12-MTOM_Data!S12</f>
        <v>-3.4012817470174923</v>
      </c>
      <c r="T12" s="11">
        <f>'24MS_Data'!T12-MTOM_Data!T12</f>
        <v>1995.2077771725296</v>
      </c>
      <c r="U12" s="11">
        <f>'24MS_Data'!U12-MTOM_Data!U12</f>
        <v>69.501619798755101</v>
      </c>
      <c r="V12" s="10">
        <f>'24MS_Data'!V12-MTOM_Data!V12</f>
        <v>-21.168377905550187</v>
      </c>
      <c r="W12" s="11">
        <f>'24MS_Data'!W12-MTOM_Data!W12</f>
        <v>0</v>
      </c>
      <c r="X12" s="12">
        <f>'24MS_Data'!X12-MTOM_Data!X12</f>
        <v>12.71679469218898</v>
      </c>
      <c r="Y12" s="11">
        <f>'24MS_Data'!Y12-MTOM_Data!Y12</f>
        <v>3.5052285527590357</v>
      </c>
      <c r="Z12" s="11">
        <f>'24MS_Data'!Z12-MTOM_Data!Z12</f>
        <v>12.716794692097452</v>
      </c>
      <c r="AA12" s="11">
        <f>'24MS_Data'!AA12-MTOM_Data!AA12</f>
        <v>0</v>
      </c>
      <c r="AB12" s="11">
        <f>'24MS_Data'!AB12-MTOM_Data!AB12</f>
        <v>0.69355371900828899</v>
      </c>
      <c r="AC12" s="11">
        <f>'24MS_Data'!AC12-MTOM_Data!AC12</f>
        <v>0</v>
      </c>
      <c r="AD12" s="10">
        <f>'24MS_Data'!AD12-MTOM_Data!AD12</f>
        <v>-2.8436962536320607</v>
      </c>
      <c r="AE12" s="11">
        <f>'24MS_Data'!AE12-MTOM_Data!AE12</f>
        <v>-254.24216523667565</v>
      </c>
      <c r="AF12" s="11">
        <f>'24MS_Data'!AF12-MTOM_Data!AF12</f>
        <v>-67.356750751465142</v>
      </c>
      <c r="AG12" s="11">
        <f>'24MS_Data'!AG12-MTOM_Data!AG12</f>
        <v>0</v>
      </c>
      <c r="AH12" s="11">
        <f>'24MS_Data'!AH12-MTOM_Data!AH12</f>
        <v>-0.73466991550702687</v>
      </c>
      <c r="AI12" s="11">
        <f>'24MS_Data'!AI12-MTOM_Data!AI12</f>
        <v>-10.000000000292516</v>
      </c>
      <c r="AJ12" s="12">
        <f>'24MS_Data'!AJ12-MTOM_Data!AJ12</f>
        <v>0</v>
      </c>
      <c r="AK12" s="11">
        <f>'24MS_Data'!AK12-MTOM_Data!AK12</f>
        <v>1.2631792994598072</v>
      </c>
      <c r="AL12" s="11">
        <f>'24MS_Data'!AL12-MTOM_Data!AL12</f>
        <v>-5.7128490880131721E-5</v>
      </c>
      <c r="AM12" s="11">
        <f>'24MS_Data'!AM12-MTOM_Data!AM12</f>
        <v>2.5263252639825851</v>
      </c>
      <c r="AN12" s="10">
        <f>'24MS_Data'!AN12-MTOM_Data!AN12</f>
        <v>6.1720584199065343E-10</v>
      </c>
      <c r="AO12" s="11">
        <f>'24MS_Data'!AO12-MTOM_Data!AO12</f>
        <v>-4.9906084313988686E-6</v>
      </c>
      <c r="AP12" s="12">
        <f>'24MS_Data'!AP12-MTOM_Data!AP12</f>
        <v>2.4020607725105947E-10</v>
      </c>
      <c r="AQ12" s="11">
        <f>'24MS_Data'!AQ12-MTOM_Data!AQ12</f>
        <v>1.2221335055073723E-11</v>
      </c>
      <c r="AR12" s="11">
        <f>'24MS_Data'!AR12-MTOM_Data!AR12</f>
        <v>-5.6293793022632599E-6</v>
      </c>
      <c r="AS12" s="11">
        <f>'24MS_Data'!AS12-MTOM_Data!AS12</f>
        <v>-3.4982804208993912E-7</v>
      </c>
      <c r="AT12" s="13">
        <f>'24MS_Data'!AT12-MTOM_Data!AT12</f>
        <v>-2.7961505111306906E-8</v>
      </c>
      <c r="AU12" s="11">
        <f>'24MS_Data'!AU12-MTOM_Data!AU12</f>
        <v>-2.5611370801925659E-8</v>
      </c>
      <c r="AV12" s="13">
        <f>'24MS_Data'!AV12-MTOM_Data!AV12</f>
        <v>6.2558683566749096E-8</v>
      </c>
    </row>
    <row r="13" spans="1:48" x14ac:dyDescent="0.25">
      <c r="A13" s="49">
        <f t="shared" si="0"/>
        <v>44408</v>
      </c>
      <c r="B13" s="10">
        <f>'24MS_Data'!B13-MTOM_Data!B13</f>
        <v>-1.843596686249839</v>
      </c>
      <c r="C13" s="11">
        <f>'24MS_Data'!C13-MTOM_Data!C13</f>
        <v>0</v>
      </c>
      <c r="D13" s="11">
        <f>'24MS_Data'!D13-MTOM_Data!D13</f>
        <v>12.061282499949868</v>
      </c>
      <c r="E13" s="11">
        <f>'24MS_Data'!E13-MTOM_Data!E13</f>
        <v>11.025258167178738</v>
      </c>
      <c r="F13" s="10">
        <f>'24MS_Data'!F13-MTOM_Data!F13</f>
        <v>6.4998080507120903</v>
      </c>
      <c r="G13" s="11">
        <f>'24MS_Data'!G13-MTOM_Data!G13</f>
        <v>12.061282500030046</v>
      </c>
      <c r="H13" s="11">
        <f>'24MS_Data'!H13-MTOM_Data!H13</f>
        <v>0</v>
      </c>
      <c r="I13" s="11">
        <f>'24MS_Data'!I13-MTOM_Data!I13</f>
        <v>-25.678502899951283</v>
      </c>
      <c r="J13" s="12">
        <f>'24MS_Data'!J13-MTOM_Data!J13</f>
        <v>0</v>
      </c>
      <c r="K13" s="11">
        <f>'24MS_Data'!K13-MTOM_Data!K13</f>
        <v>-16.485484255648771</v>
      </c>
      <c r="L13" s="11">
        <f>'24MS_Data'!L13-MTOM_Data!L13</f>
        <v>0</v>
      </c>
      <c r="M13" s="11">
        <f>'24MS_Data'!M13-MTOM_Data!M13</f>
        <v>8.1280991735537249</v>
      </c>
      <c r="N13" s="10">
        <f>'24MS_Data'!N13-MTOM_Data!N13</f>
        <v>3.2330258653573765</v>
      </c>
      <c r="O13" s="11">
        <f>'24MS_Data'!O13-MTOM_Data!O13</f>
        <v>8.1280991734833776</v>
      </c>
      <c r="P13" s="11">
        <f>'24MS_Data'!P13-MTOM_Data!P13</f>
        <v>0</v>
      </c>
      <c r="Q13" s="11">
        <f>'24MS_Data'!Q13-MTOM_Data!Q13</f>
        <v>-32.157173422226293</v>
      </c>
      <c r="R13" s="12">
        <f>'24MS_Data'!R13-MTOM_Data!R13</f>
        <v>0</v>
      </c>
      <c r="S13" s="11">
        <f>'24MS_Data'!S13-MTOM_Data!S13</f>
        <v>-3.4066457021081078</v>
      </c>
      <c r="T13" s="11">
        <f>'24MS_Data'!T13-MTOM_Data!T13</f>
        <v>-522.79718102779998</v>
      </c>
      <c r="U13" s="11">
        <f>'24MS_Data'!U13-MTOM_Data!U13</f>
        <v>0</v>
      </c>
      <c r="V13" s="10">
        <f>'24MS_Data'!V13-MTOM_Data!V13</f>
        <v>-24.863747973056888</v>
      </c>
      <c r="W13" s="11">
        <f>'24MS_Data'!W13-MTOM_Data!W13</f>
        <v>0</v>
      </c>
      <c r="X13" s="12">
        <f>'24MS_Data'!X13-MTOM_Data!X13</f>
        <v>5.145365338417129</v>
      </c>
      <c r="Y13" s="11">
        <f>'24MS_Data'!Y13-MTOM_Data!Y13</f>
        <v>3.8201914419041714</v>
      </c>
      <c r="Z13" s="11">
        <f>'24MS_Data'!Z13-MTOM_Data!Z13</f>
        <v>5.1453653384150044</v>
      </c>
      <c r="AA13" s="11">
        <f>'24MS_Data'!AA13-MTOM_Data!AA13</f>
        <v>0</v>
      </c>
      <c r="AB13" s="11">
        <f>'24MS_Data'!AB13-MTOM_Data!AB13</f>
        <v>2.079338842975254</v>
      </c>
      <c r="AC13" s="11">
        <f>'24MS_Data'!AC13-MTOM_Data!AC13</f>
        <v>0</v>
      </c>
      <c r="AD13" s="10">
        <f>'24MS_Data'!AD13-MTOM_Data!AD13</f>
        <v>-3.6478665373238073</v>
      </c>
      <c r="AE13" s="11">
        <f>'24MS_Data'!AE13-MTOM_Data!AE13</f>
        <v>-323.38287772487092</v>
      </c>
      <c r="AF13" s="11">
        <f>'24MS_Data'!AF13-MTOM_Data!AF13</f>
        <v>-55.744709733671812</v>
      </c>
      <c r="AG13" s="11">
        <f>'24MS_Data'!AG13-MTOM_Data!AG13</f>
        <v>0</v>
      </c>
      <c r="AH13" s="11">
        <f>'24MS_Data'!AH13-MTOM_Data!AH13</f>
        <v>-1.0727420577467583</v>
      </c>
      <c r="AI13" s="11">
        <f>'24MS_Data'!AI13-MTOM_Data!AI13</f>
        <v>19.999999996264251</v>
      </c>
      <c r="AJ13" s="12">
        <f>'24MS_Data'!AJ13-MTOM_Data!AJ13</f>
        <v>0</v>
      </c>
      <c r="AK13" s="11">
        <f>'24MS_Data'!AK13-MTOM_Data!AK13</f>
        <v>1.4844547477068772</v>
      </c>
      <c r="AL13" s="11">
        <f>'24MS_Data'!AL13-MTOM_Data!AL13</f>
        <v>4.9446942284703255E-5</v>
      </c>
      <c r="AM13" s="11">
        <f>'24MS_Data'!AM13-MTOM_Data!AM13</f>
        <v>2.5957238086418783</v>
      </c>
      <c r="AN13" s="10">
        <f>'24MS_Data'!AN13-MTOM_Data!AN13</f>
        <v>7.7216100180521607E-10</v>
      </c>
      <c r="AO13" s="11">
        <f>'24MS_Data'!AO13-MTOM_Data!AO13</f>
        <v>4.8556947149336338E-5</v>
      </c>
      <c r="AP13" s="12">
        <f>'24MS_Data'!AP13-MTOM_Data!AP13</f>
        <v>5.9857683254449512E-9</v>
      </c>
      <c r="AQ13" s="11">
        <f>'24MS_Data'!AQ13-MTOM_Data!AQ13</f>
        <v>3.9676706364843994E-11</v>
      </c>
      <c r="AR13" s="11">
        <f>'24MS_Data'!AR13-MTOM_Data!AR13</f>
        <v>4.8670335672795773E-5</v>
      </c>
      <c r="AS13" s="11">
        <f>'24MS_Data'!AS13-MTOM_Data!AS13</f>
        <v>3.3086980693042278E-6</v>
      </c>
      <c r="AT13" s="13">
        <f>'24MS_Data'!AT13-MTOM_Data!AT13</f>
        <v>-4.0639861254021525E-8</v>
      </c>
      <c r="AU13" s="11">
        <f>'24MS_Data'!AU13-MTOM_Data!AU13</f>
        <v>-3.7776771932840347E-8</v>
      </c>
      <c r="AV13" s="13">
        <f>'24MS_Data'!AV13-MTOM_Data!AV13</f>
        <v>-6.5105268731713295E-8</v>
      </c>
    </row>
    <row r="14" spans="1:48" x14ac:dyDescent="0.25">
      <c r="A14" s="49">
        <f t="shared" si="0"/>
        <v>44439</v>
      </c>
      <c r="B14" s="10">
        <f>'24MS_Data'!B14-MTOM_Data!B14</f>
        <v>1.705541528568574</v>
      </c>
      <c r="C14" s="11">
        <f>'24MS_Data'!C14-MTOM_Data!C14</f>
        <v>0</v>
      </c>
      <c r="D14" s="11">
        <f>'24MS_Data'!D14-MTOM_Data!D14</f>
        <v>-27.685453390191384</v>
      </c>
      <c r="E14" s="11">
        <f>'24MS_Data'!E14-MTOM_Data!E14</f>
        <v>0</v>
      </c>
      <c r="F14" s="10">
        <f>'24MS_Data'!F14-MTOM_Data!F14</f>
        <v>5.7186573140188557</v>
      </c>
      <c r="G14" s="11">
        <f>'24MS_Data'!G14-MTOM_Data!G14</f>
        <v>-27.685453390167268</v>
      </c>
      <c r="H14" s="11">
        <f>'24MS_Data'!H14-MTOM_Data!H14</f>
        <v>0</v>
      </c>
      <c r="I14" s="11">
        <f>'24MS_Data'!I14-MTOM_Data!I14</f>
        <v>2.6600918768277211</v>
      </c>
      <c r="J14" s="12">
        <f>'24MS_Data'!J14-MTOM_Data!J14</f>
        <v>0</v>
      </c>
      <c r="K14" s="11">
        <f>'24MS_Data'!K14-MTOM_Data!K14</f>
        <v>-17.83231587926457</v>
      </c>
      <c r="L14" s="11">
        <f>'24MS_Data'!L14-MTOM_Data!L14</f>
        <v>0</v>
      </c>
      <c r="M14" s="11">
        <f>'24MS_Data'!M14-MTOM_Data!M14</f>
        <v>-0.34090553720969297</v>
      </c>
      <c r="N14" s="10">
        <f>'24MS_Data'!N14-MTOM_Data!N14</f>
        <v>5.6038872065118994</v>
      </c>
      <c r="O14" s="11">
        <f>'24MS_Data'!O14-MTOM_Data!O14</f>
        <v>-0.34090553721665628</v>
      </c>
      <c r="P14" s="11">
        <f>'24MS_Data'!P14-MTOM_Data!P14</f>
        <v>0</v>
      </c>
      <c r="Q14" s="11">
        <f>'24MS_Data'!Q14-MTOM_Data!Q14</f>
        <v>-18.892745160402541</v>
      </c>
      <c r="R14" s="12">
        <f>'24MS_Data'!R14-MTOM_Data!R14</f>
        <v>0</v>
      </c>
      <c r="S14" s="11">
        <f>'24MS_Data'!S14-MTOM_Data!S14</f>
        <v>-3.4066457021126553</v>
      </c>
      <c r="T14" s="11">
        <f>'24MS_Data'!T14-MTOM_Data!T14</f>
        <v>-307.18955361921235</v>
      </c>
      <c r="U14" s="11">
        <f>'24MS_Data'!U14-MTOM_Data!U14</f>
        <v>0</v>
      </c>
      <c r="V14" s="10">
        <f>'24MS_Data'!V14-MTOM_Data!V14</f>
        <v>-29.801631989857015</v>
      </c>
      <c r="W14" s="11">
        <f>'24MS_Data'!W14-MTOM_Data!W14</f>
        <v>0</v>
      </c>
      <c r="X14" s="12">
        <f>'24MS_Data'!X14-MTOM_Data!X14</f>
        <v>2.0072543818491511</v>
      </c>
      <c r="Y14" s="11">
        <f>'24MS_Data'!Y14-MTOM_Data!Y14</f>
        <v>3.4316877776191177</v>
      </c>
      <c r="Z14" s="11">
        <f>'24MS_Data'!Z14-MTOM_Data!Z14</f>
        <v>2.0072543818480852</v>
      </c>
      <c r="AA14" s="11">
        <f>'24MS_Data'!AA14-MTOM_Data!AA14</f>
        <v>0</v>
      </c>
      <c r="AB14" s="11">
        <f>'24MS_Data'!AB14-MTOM_Data!AB14</f>
        <v>7.2393388429752683</v>
      </c>
      <c r="AC14" s="11">
        <f>'24MS_Data'!AC14-MTOM_Data!AC14</f>
        <v>0</v>
      </c>
      <c r="AD14" s="10">
        <f>'24MS_Data'!AD14-MTOM_Data!AD14</f>
        <v>-3.7232282200852751</v>
      </c>
      <c r="AE14" s="11">
        <f>'24MS_Data'!AE14-MTOM_Data!AE14</f>
        <v>-321.33131206185317</v>
      </c>
      <c r="AF14" s="11">
        <f>'24MS_Data'!AF14-MTOM_Data!AF14</f>
        <v>-8.9889186932717848</v>
      </c>
      <c r="AG14" s="11">
        <f>'24MS_Data'!AG14-MTOM_Data!AG14</f>
        <v>0</v>
      </c>
      <c r="AH14" s="11">
        <f>'24MS_Data'!AH14-MTOM_Data!AH14</f>
        <v>-1.2046096159142294</v>
      </c>
      <c r="AI14" s="11">
        <f>'24MS_Data'!AI14-MTOM_Data!AI14</f>
        <v>-9.9999999977559355</v>
      </c>
      <c r="AJ14" s="12">
        <f>'24MS_Data'!AJ14-MTOM_Data!AJ14</f>
        <v>0</v>
      </c>
      <c r="AK14" s="11">
        <f>'24MS_Data'!AK14-MTOM_Data!AK14</f>
        <v>1.3606627747840321</v>
      </c>
      <c r="AL14" s="11">
        <f>'24MS_Data'!AL14-MTOM_Data!AL14</f>
        <v>5.0974776968359947E-6</v>
      </c>
      <c r="AM14" s="11">
        <f>'24MS_Data'!AM14-MTOM_Data!AM14</f>
        <v>2.6023472088187418</v>
      </c>
      <c r="AN14" s="10">
        <f>'24MS_Data'!AN14-MTOM_Data!AN14</f>
        <v>9.425775715499185E-10</v>
      </c>
      <c r="AO14" s="11">
        <f>'24MS_Data'!AO14-MTOM_Data!AO14</f>
        <v>6.0653546825051308E-6</v>
      </c>
      <c r="AP14" s="12">
        <f>'24MS_Data'!AP14-MTOM_Data!AP14</f>
        <v>5.7639226724859327E-10</v>
      </c>
      <c r="AQ14" s="11">
        <f>'24MS_Data'!AQ14-MTOM_Data!AQ14</f>
        <v>1.4808847481617704E-9</v>
      </c>
      <c r="AR14" s="11">
        <f>'24MS_Data'!AR14-MTOM_Data!AR14</f>
        <v>6.0048187151551247E-6</v>
      </c>
      <c r="AS14" s="11">
        <f>'24MS_Data'!AS14-MTOM_Data!AS14</f>
        <v>3.468521754257381E-7</v>
      </c>
      <c r="AT14" s="13">
        <f>'24MS_Data'!AT14-MTOM_Data!AT14</f>
        <v>-4.0243321564048529E-8</v>
      </c>
      <c r="AU14" s="11">
        <f>'24MS_Data'!AU14-MTOM_Data!AU14</f>
        <v>-3.7776771932840347E-8</v>
      </c>
      <c r="AV14" s="13">
        <f>'24MS_Data'!AV14-MTOM_Data!AV14</f>
        <v>-6.5105268731713295E-8</v>
      </c>
    </row>
    <row r="15" spans="1:48" x14ac:dyDescent="0.25">
      <c r="A15" s="49">
        <f t="shared" si="0"/>
        <v>44469</v>
      </c>
      <c r="B15" s="10">
        <f>'24MS_Data'!B15-MTOM_Data!B15</f>
        <v>2.7664055514715074</v>
      </c>
      <c r="C15" s="11">
        <f>'24MS_Data'!C15-MTOM_Data!C15</f>
        <v>0</v>
      </c>
      <c r="D15" s="11">
        <f>'24MS_Data'!D15-MTOM_Data!D15</f>
        <v>-7.5369672788765811</v>
      </c>
      <c r="E15" s="11">
        <f>'24MS_Data'!E15-MTOM_Data!E15</f>
        <v>-7.1164794489323526</v>
      </c>
      <c r="F15" s="10">
        <f>'24MS_Data'!F15-MTOM_Data!F15</f>
        <v>5.5144819388460746</v>
      </c>
      <c r="G15" s="11">
        <f>'24MS_Data'!G15-MTOM_Data!G15</f>
        <v>-7.5369672788766877</v>
      </c>
      <c r="H15" s="11">
        <f>'24MS_Data'!H15-MTOM_Data!H15</f>
        <v>0</v>
      </c>
      <c r="I15" s="11">
        <f>'24MS_Data'!I15-MTOM_Data!I15</f>
        <v>1.2069109233497954</v>
      </c>
      <c r="J15" s="12">
        <f>'24MS_Data'!J15-MTOM_Data!J15</f>
        <v>0</v>
      </c>
      <c r="K15" s="11">
        <f>'24MS_Data'!K15-MTOM_Data!K15</f>
        <v>-18.161922178476743</v>
      </c>
      <c r="L15" s="11">
        <f>'24MS_Data'!L15-MTOM_Data!L15</f>
        <v>0</v>
      </c>
      <c r="M15" s="11">
        <f>'24MS_Data'!M15-MTOM_Data!M15</f>
        <v>-3.1383199999979539</v>
      </c>
      <c r="N15" s="10">
        <f>'24MS_Data'!N15-MTOM_Data!N15</f>
        <v>6.0153149409561593</v>
      </c>
      <c r="O15" s="11">
        <f>'24MS_Data'!O15-MTOM_Data!O15</f>
        <v>-3.138320000040018</v>
      </c>
      <c r="P15" s="11">
        <f>'24MS_Data'!P15-MTOM_Data!P15</f>
        <v>0</v>
      </c>
      <c r="Q15" s="11">
        <f>'24MS_Data'!Q15-MTOM_Data!Q15</f>
        <v>-5.4170006347867314</v>
      </c>
      <c r="R15" s="12">
        <f>'24MS_Data'!R15-MTOM_Data!R15</f>
        <v>0</v>
      </c>
      <c r="S15" s="11">
        <f>'24MS_Data'!S15-MTOM_Data!S15</f>
        <v>-3.4028864534393506</v>
      </c>
      <c r="T15" s="11">
        <f>'24MS_Data'!T15-MTOM_Data!T15</f>
        <v>-91.040218321102429</v>
      </c>
      <c r="U15" s="11">
        <f>'24MS_Data'!U15-MTOM_Data!U15</f>
        <v>-5.5160100005334343</v>
      </c>
      <c r="V15" s="10">
        <f>'24MS_Data'!V15-MTOM_Data!V15</f>
        <v>-37.105842806502551</v>
      </c>
      <c r="W15" s="11">
        <f>'24MS_Data'!W15-MTOM_Data!W15</f>
        <v>0</v>
      </c>
      <c r="X15" s="12">
        <f>'24MS_Data'!X15-MTOM_Data!X15</f>
        <v>1.7274252282354787</v>
      </c>
      <c r="Y15" s="11">
        <f>'24MS_Data'!Y15-MTOM_Data!Y15</f>
        <v>3.2964507333617803</v>
      </c>
      <c r="Z15" s="11">
        <f>'24MS_Data'!Z15-MTOM_Data!Z15</f>
        <v>1.7274252281937379</v>
      </c>
      <c r="AA15" s="11">
        <f>'24MS_Data'!AA15-MTOM_Data!AA15</f>
        <v>0</v>
      </c>
      <c r="AB15" s="11">
        <f>'24MS_Data'!AB15-MTOM_Data!AB15</f>
        <v>3.3735537190082923</v>
      </c>
      <c r="AC15" s="11">
        <f>'24MS_Data'!AC15-MTOM_Data!AC15</f>
        <v>0</v>
      </c>
      <c r="AD15" s="10">
        <f>'24MS_Data'!AD15-MTOM_Data!AD15</f>
        <v>-4.7610206143835967</v>
      </c>
      <c r="AE15" s="11">
        <f>'24MS_Data'!AE15-MTOM_Data!AE15</f>
        <v>-404.26719748899995</v>
      </c>
      <c r="AF15" s="11">
        <f>'24MS_Data'!AF15-MTOM_Data!AF15</f>
        <v>-0.8368045468016021</v>
      </c>
      <c r="AG15" s="11">
        <f>'24MS_Data'!AG15-MTOM_Data!AG15</f>
        <v>0</v>
      </c>
      <c r="AH15" s="11">
        <f>'24MS_Data'!AH15-MTOM_Data!AH15</f>
        <v>-1.2660504068604865</v>
      </c>
      <c r="AI15" s="11">
        <f>'24MS_Data'!AI15-MTOM_Data!AI15</f>
        <v>89.999999999602096</v>
      </c>
      <c r="AJ15" s="12">
        <f>'24MS_Data'!AJ15-MTOM_Data!AJ15</f>
        <v>0</v>
      </c>
      <c r="AK15" s="11">
        <f>'24MS_Data'!AK15-MTOM_Data!AK15</f>
        <v>2.3760833509018084</v>
      </c>
      <c r="AL15" s="11">
        <f>'24MS_Data'!AL15-MTOM_Data!AL15</f>
        <v>4.0286686271429062E-6</v>
      </c>
      <c r="AM15" s="11">
        <f>'24MS_Data'!AM15-MTOM_Data!AM15</f>
        <v>2.7549746750386817</v>
      </c>
      <c r="AN15" s="10">
        <f>'24MS_Data'!AN15-MTOM_Data!AN15</f>
        <v>-1.2107648217352107E-9</v>
      </c>
      <c r="AO15" s="11">
        <f>'24MS_Data'!AO15-MTOM_Data!AO15</f>
        <v>5.4819975048303604E-6</v>
      </c>
      <c r="AP15" s="12">
        <f>'24MS_Data'!AP15-MTOM_Data!AP15</f>
        <v>6.0296656556602102E-10</v>
      </c>
      <c r="AQ15" s="11">
        <f>'24MS_Data'!AQ15-MTOM_Data!AQ15</f>
        <v>1.8644641386345029E-11</v>
      </c>
      <c r="AR15" s="11">
        <f>'24MS_Data'!AR15-MTOM_Data!AR15</f>
        <v>4.9980590119957924E-6</v>
      </c>
      <c r="AS15" s="11">
        <f>'24MS_Data'!AS15-MTOM_Data!AS15</f>
        <v>3.471141098998487E-7</v>
      </c>
      <c r="AT15" s="13">
        <f>'24MS_Data'!AT15-MTOM_Data!AT15</f>
        <v>-5.1924871513620019E-8</v>
      </c>
      <c r="AU15" s="11">
        <f>'24MS_Data'!AU15-MTOM_Data!AU15</f>
        <v>9.7104930318892002E-8</v>
      </c>
      <c r="AV15" s="13">
        <f>'24MS_Data'!AV15-MTOM_Data!AV15</f>
        <v>-5.6024873629212379E-8</v>
      </c>
    </row>
    <row r="16" spans="1:48" x14ac:dyDescent="0.25">
      <c r="A16" s="49">
        <f t="shared" si="0"/>
        <v>44500</v>
      </c>
      <c r="B16" s="10">
        <f>'24MS_Data'!B16-MTOM_Data!B16</f>
        <v>3.8954964478689362</v>
      </c>
      <c r="C16" s="11">
        <f>'24MS_Data'!C16-MTOM_Data!C16</f>
        <v>0</v>
      </c>
      <c r="D16" s="11">
        <f>'24MS_Data'!D16-MTOM_Data!D16</f>
        <v>-7.4769223489063847</v>
      </c>
      <c r="E16" s="11">
        <f>'24MS_Data'!E16-MTOM_Data!E16</f>
        <v>0</v>
      </c>
      <c r="F16" s="10">
        <f>'24MS_Data'!F16-MTOM_Data!F16</f>
        <v>5.4756045893909686</v>
      </c>
      <c r="G16" s="11">
        <f>'24MS_Data'!G16-MTOM_Data!G16</f>
        <v>-7.4769223488316499</v>
      </c>
      <c r="H16" s="11">
        <f>'24MS_Data'!H16-MTOM_Data!H16</f>
        <v>0</v>
      </c>
      <c r="I16" s="11">
        <f>'24MS_Data'!I16-MTOM_Data!I16</f>
        <v>-5.5855403014325162</v>
      </c>
      <c r="J16" s="12">
        <f>'24MS_Data'!J16-MTOM_Data!J16</f>
        <v>0</v>
      </c>
      <c r="K16" s="11">
        <f>'24MS_Data'!K16-MTOM_Data!K16</f>
        <v>-21.615073589240637</v>
      </c>
      <c r="L16" s="11">
        <f>'24MS_Data'!L16-MTOM_Data!L16</f>
        <v>0</v>
      </c>
      <c r="M16" s="11">
        <f>'24MS_Data'!M16-MTOM_Data!M16</f>
        <v>3.1898200000027241</v>
      </c>
      <c r="N16" s="10">
        <f>'24MS_Data'!N16-MTOM_Data!N16</f>
        <v>3.1639606120061217</v>
      </c>
      <c r="O16" s="11">
        <f>'24MS_Data'!O16-MTOM_Data!O16</f>
        <v>3.1898199999539187</v>
      </c>
      <c r="P16" s="11">
        <f>'24MS_Data'!P16-MTOM_Data!P16</f>
        <v>0</v>
      </c>
      <c r="Q16" s="11">
        <f>'24MS_Data'!Q16-MTOM_Data!Q16</f>
        <v>25.845622725948985</v>
      </c>
      <c r="R16" s="12">
        <f>'24MS_Data'!R16-MTOM_Data!R16</f>
        <v>0</v>
      </c>
      <c r="S16" s="11">
        <f>'24MS_Data'!S16-MTOM_Data!S16</f>
        <v>-3.4066457021044698</v>
      </c>
      <c r="T16" s="11">
        <f>'24MS_Data'!T16-MTOM_Data!T16</f>
        <v>420.44017803245765</v>
      </c>
      <c r="U16" s="11">
        <f>'24MS_Data'!U16-MTOM_Data!U16</f>
        <v>0</v>
      </c>
      <c r="V16" s="10">
        <f>'24MS_Data'!V16-MTOM_Data!V16</f>
        <v>-42.261377612214346</v>
      </c>
      <c r="W16" s="11">
        <f>'24MS_Data'!W16-MTOM_Data!W16</f>
        <v>0</v>
      </c>
      <c r="X16" s="12">
        <f>'24MS_Data'!X16-MTOM_Data!X16</f>
        <v>3.1198853862358238</v>
      </c>
      <c r="Y16" s="11">
        <f>'24MS_Data'!Y16-MTOM_Data!Y16</f>
        <v>3.543356996953662</v>
      </c>
      <c r="Z16" s="11">
        <f>'24MS_Data'!Z16-MTOM_Data!Z16</f>
        <v>3.1198853862945057</v>
      </c>
      <c r="AA16" s="11">
        <f>'24MS_Data'!AA16-MTOM_Data!AA16</f>
        <v>0</v>
      </c>
      <c r="AB16" s="11">
        <f>'24MS_Data'!AB16-MTOM_Data!AB16</f>
        <v>-6.06611570247928E-2</v>
      </c>
      <c r="AC16" s="11">
        <f>'24MS_Data'!AC16-MTOM_Data!AC16</f>
        <v>0</v>
      </c>
      <c r="AD16" s="10">
        <f>'24MS_Data'!AD16-MTOM_Data!AD16</f>
        <v>-4.5415911094828516</v>
      </c>
      <c r="AE16" s="11">
        <f>'24MS_Data'!AE16-MTOM_Data!AE16</f>
        <v>-384.66554114005703</v>
      </c>
      <c r="AF16" s="11">
        <f>'24MS_Data'!AF16-MTOM_Data!AF16</f>
        <v>20.20565742156316</v>
      </c>
      <c r="AG16" s="11">
        <f>'24MS_Data'!AG16-MTOM_Data!AG16</f>
        <v>0</v>
      </c>
      <c r="AH16" s="11">
        <f>'24MS_Data'!AH16-MTOM_Data!AH16</f>
        <v>-0.96413100489989034</v>
      </c>
      <c r="AI16" s="11">
        <f>'24MS_Data'!AI16-MTOM_Data!AI16</f>
        <v>-1.5421619536937214E-10</v>
      </c>
      <c r="AJ16" s="12">
        <f>'24MS_Data'!AJ16-MTOM_Data!AJ16</f>
        <v>0</v>
      </c>
      <c r="AK16" s="11">
        <f>'24MS_Data'!AK16-MTOM_Data!AK16</f>
        <v>2.3752438758394874</v>
      </c>
      <c r="AL16" s="11">
        <f>'24MS_Data'!AL16-MTOM_Data!AL16</f>
        <v>5.1321694627404213E-7</v>
      </c>
      <c r="AM16" s="11">
        <f>'24MS_Data'!AM16-MTOM_Data!AM16</f>
        <v>2.8050288825021141</v>
      </c>
      <c r="AN16" s="10">
        <f>'24MS_Data'!AN16-MTOM_Data!AN16</f>
        <v>-1.2357759260339662E-10</v>
      </c>
      <c r="AO16" s="11">
        <f>'24MS_Data'!AO16-MTOM_Data!AO16</f>
        <v>1.6274861991405487E-7</v>
      </c>
      <c r="AP16" s="12">
        <f>'24MS_Data'!AP16-MTOM_Data!AP16</f>
        <v>-1.8332002582610585E-12</v>
      </c>
      <c r="AQ16" s="11">
        <f>'24MS_Data'!AQ16-MTOM_Data!AQ16</f>
        <v>0</v>
      </c>
      <c r="AR16" s="11">
        <f>'24MS_Data'!AR16-MTOM_Data!AR16</f>
        <v>-6.2910839915275574E-7</v>
      </c>
      <c r="AS16" s="11">
        <f>'24MS_Data'!AS16-MTOM_Data!AS16</f>
        <v>-1.0757503332570195E-8</v>
      </c>
      <c r="AT16" s="13">
        <f>'24MS_Data'!AT16-MTOM_Data!AT16</f>
        <v>2.5094777811318636E-8</v>
      </c>
      <c r="AU16" s="11">
        <f>'24MS_Data'!AU16-MTOM_Data!AU16</f>
        <v>3.2210664357990026E-8</v>
      </c>
      <c r="AV16" s="13">
        <f>'24MS_Data'!AV16-MTOM_Data!AV16</f>
        <v>5.5733835324645042E-8</v>
      </c>
    </row>
    <row r="17" spans="1:48" x14ac:dyDescent="0.25">
      <c r="A17" s="49">
        <f t="shared" si="0"/>
        <v>44530</v>
      </c>
      <c r="B17" s="10">
        <f>'24MS_Data'!B17-MTOM_Data!B17</f>
        <v>3.1689925887912977</v>
      </c>
      <c r="C17" s="11">
        <f>'24MS_Data'!C17-MTOM_Data!C17</f>
        <v>0</v>
      </c>
      <c r="D17" s="11">
        <f>'24MS_Data'!D17-MTOM_Data!D17</f>
        <v>6.1478170817040194</v>
      </c>
      <c r="E17" s="11">
        <f>'24MS_Data'!E17-MTOM_Data!E17</f>
        <v>0</v>
      </c>
      <c r="F17" s="10">
        <f>'24MS_Data'!F17-MTOM_Data!F17</f>
        <v>5.82841654656022</v>
      </c>
      <c r="G17" s="11">
        <f>'24MS_Data'!G17-MTOM_Data!G17</f>
        <v>6.1478170816482987</v>
      </c>
      <c r="H17" s="11">
        <f>'24MS_Data'!H17-MTOM_Data!H17</f>
        <v>0</v>
      </c>
      <c r="I17" s="11">
        <f>'24MS_Data'!I17-MTOM_Data!I17</f>
        <v>-7.131088772241057</v>
      </c>
      <c r="J17" s="12">
        <f>'24MS_Data'!J17-MTOM_Data!J17</f>
        <v>0</v>
      </c>
      <c r="K17" s="11">
        <f>'24MS_Data'!K17-MTOM_Data!K17</f>
        <v>-20.34882769028809</v>
      </c>
      <c r="L17" s="11">
        <f>'24MS_Data'!L17-MTOM_Data!L17</f>
        <v>0</v>
      </c>
      <c r="M17" s="11">
        <f>'24MS_Data'!M17-MTOM_Data!M17</f>
        <v>-2.1083200000020152</v>
      </c>
      <c r="N17" s="10">
        <f>'24MS_Data'!N17-MTOM_Data!N17</f>
        <v>2.8919482080773378</v>
      </c>
      <c r="O17" s="11">
        <f>'24MS_Data'!O17-MTOM_Data!O17</f>
        <v>-2.1083200000272271</v>
      </c>
      <c r="P17" s="11">
        <f>'24MS_Data'!P17-MTOM_Data!P17</f>
        <v>0</v>
      </c>
      <c r="Q17" s="11">
        <f>'24MS_Data'!Q17-MTOM_Data!Q17</f>
        <v>-0.29225063949727748</v>
      </c>
      <c r="R17" s="12">
        <f>'24MS_Data'!R17-MTOM_Data!R17</f>
        <v>0</v>
      </c>
      <c r="S17" s="11">
        <f>'24MS_Data'!S17-MTOM_Data!S17</f>
        <v>-3.405681225913213</v>
      </c>
      <c r="T17" s="11">
        <f>'24MS_Data'!T17-MTOM_Data!T17</f>
        <v>-4.9125915905867714</v>
      </c>
      <c r="U17" s="11">
        <f>'24MS_Data'!U17-MTOM_Data!U17</f>
        <v>0</v>
      </c>
      <c r="V17" s="10">
        <f>'24MS_Data'!V17-MTOM_Data!V17</f>
        <v>-36.430268882196287</v>
      </c>
      <c r="W17" s="11">
        <f>'24MS_Data'!W17-MTOM_Data!W17</f>
        <v>0</v>
      </c>
      <c r="X17" s="12">
        <f>'24MS_Data'!X17-MTOM_Data!X17</f>
        <v>-3.5745479000058697</v>
      </c>
      <c r="Y17" s="11">
        <f>'24MS_Data'!Y17-MTOM_Data!Y17</f>
        <v>3.2431276509305462</v>
      </c>
      <c r="Z17" s="11">
        <f>'24MS_Data'!Z17-MTOM_Data!Z17</f>
        <v>-3.574547900005193</v>
      </c>
      <c r="AA17" s="11">
        <f>'24MS_Data'!AA17-MTOM_Data!AA17</f>
        <v>0</v>
      </c>
      <c r="AB17" s="11">
        <f>'24MS_Data'!AB17-MTOM_Data!AB17</f>
        <v>-5.6446280991725217E-2</v>
      </c>
      <c r="AC17" s="11">
        <f>'24MS_Data'!AC17-MTOM_Data!AC17</f>
        <v>0</v>
      </c>
      <c r="AD17" s="10">
        <f>'24MS_Data'!AD17-MTOM_Data!AD17</f>
        <v>-4.6365641392644648</v>
      </c>
      <c r="AE17" s="11">
        <f>'24MS_Data'!AE17-MTOM_Data!AE17</f>
        <v>-390.76237170442982</v>
      </c>
      <c r="AF17" s="11">
        <f>'24MS_Data'!AF17-MTOM_Data!AF17</f>
        <v>-7.4798545529475859</v>
      </c>
      <c r="AG17" s="11">
        <f>'24MS_Data'!AG17-MTOM_Data!AG17</f>
        <v>0</v>
      </c>
      <c r="AH17" s="11">
        <f>'24MS_Data'!AH17-MTOM_Data!AH17</f>
        <v>-0.89527767163872696</v>
      </c>
      <c r="AI17" s="11">
        <f>'24MS_Data'!AI17-MTOM_Data!AI17</f>
        <v>-1.9406343199079856E-10</v>
      </c>
      <c r="AJ17" s="12">
        <f>'24MS_Data'!AJ17-MTOM_Data!AJ17</f>
        <v>0</v>
      </c>
      <c r="AK17" s="11">
        <f>'24MS_Data'!AK17-MTOM_Data!AK17</f>
        <v>2.3852533733947894</v>
      </c>
      <c r="AL17" s="11">
        <f>'24MS_Data'!AL17-MTOM_Data!AL17</f>
        <v>5.8955047279596329E-6</v>
      </c>
      <c r="AM17" s="11">
        <f>'24MS_Data'!AM17-MTOM_Data!AM17</f>
        <v>2.6071992378798257</v>
      </c>
      <c r="AN17" s="10">
        <f>'24MS_Data'!AN17-MTOM_Data!AN17</f>
        <v>1.5796786101418547E-9</v>
      </c>
      <c r="AO17" s="11">
        <f>'24MS_Data'!AO17-MTOM_Data!AO17</f>
        <v>6.0875900089740753E-6</v>
      </c>
      <c r="AP17" s="12">
        <f>'24MS_Data'!AP17-MTOM_Data!AP17</f>
        <v>6.1552896113425959E-10</v>
      </c>
      <c r="AQ17" s="11">
        <f>'24MS_Data'!AQ17-MTOM_Data!AQ17</f>
        <v>5.9685589803848416E-12</v>
      </c>
      <c r="AR17" s="11">
        <f>'24MS_Data'!AR17-MTOM_Data!AR17</f>
        <v>5.8957375586032867E-6</v>
      </c>
      <c r="AS17" s="11">
        <f>'24MS_Data'!AS17-MTOM_Data!AS17</f>
        <v>3.810055204667151E-7</v>
      </c>
      <c r="AT17" s="13">
        <f>'24MS_Data'!AT17-MTOM_Data!AT17</f>
        <v>4.1400198824703693E-9</v>
      </c>
      <c r="AU17" s="11">
        <f>'24MS_Data'!AU17-MTOM_Data!AU17</f>
        <v>-5.6199496611952782E-8</v>
      </c>
      <c r="AV17" s="13">
        <f>'24MS_Data'!AV17-MTOM_Data!AV17</f>
        <v>9.8079908639192581E-8</v>
      </c>
    </row>
    <row r="18" spans="1:48" x14ac:dyDescent="0.25">
      <c r="A18" s="49">
        <f t="shared" si="0"/>
        <v>44561</v>
      </c>
      <c r="B18" s="10">
        <f>'24MS_Data'!B18-MTOM_Data!B18</f>
        <v>2.4062523459961085</v>
      </c>
      <c r="C18" s="11">
        <f>'24MS_Data'!C18-MTOM_Data!C18</f>
        <v>0</v>
      </c>
      <c r="D18" s="11">
        <f>'24MS_Data'!D18-MTOM_Data!D18</f>
        <v>6.3530776510939688</v>
      </c>
      <c r="E18" s="11">
        <f>'24MS_Data'!E18-MTOM_Data!E18</f>
        <v>0</v>
      </c>
      <c r="F18" s="10">
        <f>'24MS_Data'!F18-MTOM_Data!F18</f>
        <v>5.8290484854805982</v>
      </c>
      <c r="G18" s="11">
        <f>'24MS_Data'!G18-MTOM_Data!G18</f>
        <v>6.353077651106716</v>
      </c>
      <c r="H18" s="11">
        <f>'24MS_Data'!H18-MTOM_Data!H18</f>
        <v>0</v>
      </c>
      <c r="I18" s="11">
        <f>'24MS_Data'!I18-MTOM_Data!I18</f>
        <v>7.1693225300820274</v>
      </c>
      <c r="J18" s="12">
        <f>'24MS_Data'!J18-MTOM_Data!J18</f>
        <v>0</v>
      </c>
      <c r="K18" s="11">
        <f>'24MS_Data'!K18-MTOM_Data!K18</f>
        <v>-20.819623228346245</v>
      </c>
      <c r="L18" s="11">
        <f>'24MS_Data'!L18-MTOM_Data!L18</f>
        <v>0</v>
      </c>
      <c r="M18" s="11">
        <f>'24MS_Data'!M18-MTOM_Data!M18</f>
        <v>0.50000000000000444</v>
      </c>
      <c r="N18" s="10">
        <f>'24MS_Data'!N18-MTOM_Data!N18</f>
        <v>1.7127579068237537</v>
      </c>
      <c r="O18" s="11">
        <f>'24MS_Data'!O18-MTOM_Data!O18</f>
        <v>0.4999999999719833</v>
      </c>
      <c r="P18" s="11">
        <f>'24MS_Data'!P18-MTOM_Data!P18</f>
        <v>0</v>
      </c>
      <c r="Q18" s="11">
        <f>'24MS_Data'!Q18-MTOM_Data!Q18</f>
        <v>9.7224176979099575</v>
      </c>
      <c r="R18" s="12">
        <f>'24MS_Data'!R18-MTOM_Data!R18</f>
        <v>0</v>
      </c>
      <c r="S18" s="11">
        <f>'24MS_Data'!S18-MTOM_Data!S18</f>
        <v>-3.4066457021135648</v>
      </c>
      <c r="T18" s="11">
        <f>'24MS_Data'!T18-MTOM_Data!T18</f>
        <v>158.14935770860473</v>
      </c>
      <c r="U18" s="11">
        <f>'24MS_Data'!U18-MTOM_Data!U18</f>
        <v>0</v>
      </c>
      <c r="V18" s="10">
        <f>'24MS_Data'!V18-MTOM_Data!V18</f>
        <v>-33.204243437549849</v>
      </c>
      <c r="W18" s="11">
        <f>'24MS_Data'!W18-MTOM_Data!W18</f>
        <v>0</v>
      </c>
      <c r="X18" s="12">
        <f>'24MS_Data'!X18-MTOM_Data!X18</f>
        <v>-1.5062262548365477</v>
      </c>
      <c r="Y18" s="11">
        <f>'24MS_Data'!Y18-MTOM_Data!Y18</f>
        <v>3.1222699883928726</v>
      </c>
      <c r="Z18" s="11">
        <f>'24MS_Data'!Z18-MTOM_Data!Z18</f>
        <v>-1.506226254828082</v>
      </c>
      <c r="AA18" s="11">
        <f>'24MS_Data'!AA18-MTOM_Data!AA18</f>
        <v>0</v>
      </c>
      <c r="AB18" s="11">
        <f>'24MS_Data'!AB18-MTOM_Data!AB18</f>
        <v>-6.06611570247928E-2</v>
      </c>
      <c r="AC18" s="11">
        <f>'24MS_Data'!AC18-MTOM_Data!AC18</f>
        <v>0</v>
      </c>
      <c r="AD18" s="10">
        <f>'24MS_Data'!AD18-MTOM_Data!AD18</f>
        <v>-4.5023102733757696</v>
      </c>
      <c r="AE18" s="11">
        <f>'24MS_Data'!AE18-MTOM_Data!AE18</f>
        <v>-374.51667191646993</v>
      </c>
      <c r="AF18" s="11">
        <f>'24MS_Data'!AF18-MTOM_Data!AF18</f>
        <v>16.832886343235316</v>
      </c>
      <c r="AG18" s="11">
        <f>'24MS_Data'!AG18-MTOM_Data!AG18</f>
        <v>0</v>
      </c>
      <c r="AH18" s="11">
        <f>'24MS_Data'!AH18-MTOM_Data!AH18</f>
        <v>-0.71246906835810364</v>
      </c>
      <c r="AI18" s="11">
        <f>'24MS_Data'!AI18-MTOM_Data!AI18</f>
        <v>-3.9517544792033732E-10</v>
      </c>
      <c r="AJ18" s="12">
        <f>'24MS_Data'!AJ18-MTOM_Data!AJ18</f>
        <v>0</v>
      </c>
      <c r="AK18" s="11">
        <f>'24MS_Data'!AK18-MTOM_Data!AK18</f>
        <v>2.3657896820202495</v>
      </c>
      <c r="AL18" s="11">
        <f>'24MS_Data'!AL18-MTOM_Data!AL18</f>
        <v>4.8783840611577034E-7</v>
      </c>
      <c r="AM18" s="11">
        <f>'24MS_Data'!AM18-MTOM_Data!AM18</f>
        <v>2.6962160501938399</v>
      </c>
      <c r="AN18" s="10">
        <f>'24MS_Data'!AN18-MTOM_Data!AN18</f>
        <v>2.4351720639970154E-10</v>
      </c>
      <c r="AO18" s="11">
        <f>'24MS_Data'!AO18-MTOM_Data!AO18</f>
        <v>-7.6711876317858696E-7</v>
      </c>
      <c r="AP18" s="12">
        <f>'24MS_Data'!AP18-MTOM_Data!AP18</f>
        <v>3.6649794310505968E-11</v>
      </c>
      <c r="AQ18" s="11">
        <f>'24MS_Data'!AQ18-MTOM_Data!AQ18</f>
        <v>-1.0584244591882452E-10</v>
      </c>
      <c r="AR18" s="11">
        <f>'24MS_Data'!AR18-MTOM_Data!AR18</f>
        <v>-1.4566467143595219E-7</v>
      </c>
      <c r="AS18" s="11">
        <f>'24MS_Data'!AS18-MTOM_Data!AS18</f>
        <v>-3.0899172998033464E-8</v>
      </c>
      <c r="AT18" s="13">
        <f>'24MS_Data'!AT18-MTOM_Data!AT18</f>
        <v>1.9281287677586079E-9</v>
      </c>
      <c r="AU18" s="11">
        <f>'24MS_Data'!AU18-MTOM_Data!AU18</f>
        <v>-7.1690010372549295E-8</v>
      </c>
      <c r="AV18" s="13">
        <f>'24MS_Data'!AV18-MTOM_Data!AV18</f>
        <v>1.0055373422801495E-8</v>
      </c>
    </row>
    <row r="19" spans="1:48" x14ac:dyDescent="0.25">
      <c r="A19" s="49">
        <f t="shared" si="0"/>
        <v>44592</v>
      </c>
      <c r="B19" s="10">
        <f>'24MS_Data'!B19-MTOM_Data!B19</f>
        <v>1.767529777756863</v>
      </c>
      <c r="C19" s="11">
        <f>'24MS_Data'!C19-MTOM_Data!C19</f>
        <v>0</v>
      </c>
      <c r="D19" s="11">
        <f>'24MS_Data'!D19-MTOM_Data!D19</f>
        <v>6.3530776510939688</v>
      </c>
      <c r="E19" s="11">
        <f>'24MS_Data'!E19-MTOM_Data!E19</f>
        <v>0</v>
      </c>
      <c r="F19" s="10">
        <f>'24MS_Data'!F19-MTOM_Data!F19</f>
        <v>5.287510259669034</v>
      </c>
      <c r="G19" s="11">
        <f>'24MS_Data'!G19-MTOM_Data!G19</f>
        <v>6.3530776511025664</v>
      </c>
      <c r="H19" s="11">
        <f>'24MS_Data'!H19-MTOM_Data!H19</f>
        <v>0</v>
      </c>
      <c r="I19" s="11">
        <f>'24MS_Data'!I19-MTOM_Data!I19</f>
        <v>26.898595041322636</v>
      </c>
      <c r="J19" s="12">
        <f>'24MS_Data'!J19-MTOM_Data!J19</f>
        <v>0</v>
      </c>
      <c r="K19" s="11">
        <f>'24MS_Data'!K19-MTOM_Data!K19</f>
        <v>-21.478117247952468</v>
      </c>
      <c r="L19" s="11">
        <f>'24MS_Data'!L19-MTOM_Data!L19</f>
        <v>0</v>
      </c>
      <c r="M19" s="11">
        <f>'24MS_Data'!M19-MTOM_Data!M19</f>
        <v>0.58842975206612103</v>
      </c>
      <c r="N19" s="10">
        <f>'24MS_Data'!N19-MTOM_Data!N19</f>
        <v>3.908981430447966</v>
      </c>
      <c r="O19" s="11">
        <f>'24MS_Data'!O19-MTOM_Data!O19</f>
        <v>0.58842975198626135</v>
      </c>
      <c r="P19" s="11">
        <f>'24MS_Data'!P19-MTOM_Data!P19</f>
        <v>0</v>
      </c>
      <c r="Q19" s="11">
        <f>'24MS_Data'!Q19-MTOM_Data!Q19</f>
        <v>-16.233320393206281</v>
      </c>
      <c r="R19" s="12">
        <f>'24MS_Data'!R19-MTOM_Data!R19</f>
        <v>0</v>
      </c>
      <c r="S19" s="11">
        <f>'24MS_Data'!S19-MTOM_Data!S19</f>
        <v>-3.4066457020826419</v>
      </c>
      <c r="T19" s="11">
        <f>'24MS_Data'!T19-MTOM_Data!T19</f>
        <v>-263.99737551086287</v>
      </c>
      <c r="U19" s="11">
        <f>'24MS_Data'!U19-MTOM_Data!U19</f>
        <v>0</v>
      </c>
      <c r="V19" s="10">
        <f>'24MS_Data'!V19-MTOM_Data!V19</f>
        <v>-30.007528259274295</v>
      </c>
      <c r="W19" s="11">
        <f>'24MS_Data'!W19-MTOM_Data!W19</f>
        <v>0</v>
      </c>
      <c r="X19" s="12">
        <f>'24MS_Data'!X19-MTOM_Data!X19</f>
        <v>-3.7839177558473964</v>
      </c>
      <c r="Y19" s="11">
        <f>'24MS_Data'!Y19-MTOM_Data!Y19</f>
        <v>2.8107924240657667</v>
      </c>
      <c r="Z19" s="11">
        <f>'24MS_Data'!Z19-MTOM_Data!Z19</f>
        <v>-3.7839177558454473</v>
      </c>
      <c r="AA19" s="11">
        <f>'24MS_Data'!AA19-MTOM_Data!AA19</f>
        <v>0</v>
      </c>
      <c r="AB19" s="11">
        <f>'24MS_Data'!AB19-MTOM_Data!AB19</f>
        <v>-6.06611570247928E-2</v>
      </c>
      <c r="AC19" s="11">
        <f>'24MS_Data'!AC19-MTOM_Data!AC19</f>
        <v>0</v>
      </c>
      <c r="AD19" s="10">
        <f>'24MS_Data'!AD19-MTOM_Data!AD19</f>
        <v>-4.4745420672693399</v>
      </c>
      <c r="AE19" s="11">
        <f>'24MS_Data'!AE19-MTOM_Data!AE19</f>
        <v>-364.47408138344508</v>
      </c>
      <c r="AF19" s="11">
        <f>'24MS_Data'!AF19-MTOM_Data!AF19</f>
        <v>10.605367984319116</v>
      </c>
      <c r="AG19" s="11">
        <f>'24MS_Data'!AG19-MTOM_Data!AG19</f>
        <v>0</v>
      </c>
      <c r="AH19" s="11">
        <f>'24MS_Data'!AH19-MTOM_Data!AH19</f>
        <v>-0.24062956054186291</v>
      </c>
      <c r="AI19" s="11">
        <f>'24MS_Data'!AI19-MTOM_Data!AI19</f>
        <v>1.7746515368344262E-10</v>
      </c>
      <c r="AJ19" s="12">
        <f>'24MS_Data'!AJ19-MTOM_Data!AJ19</f>
        <v>0</v>
      </c>
      <c r="AK19" s="11">
        <f>'24MS_Data'!AK19-MTOM_Data!AK19</f>
        <v>2.3344241634554237</v>
      </c>
      <c r="AL19" s="11">
        <f>'24MS_Data'!AL19-MTOM_Data!AL19</f>
        <v>-5.5292039178311825E-6</v>
      </c>
      <c r="AM19" s="11">
        <f>'24MS_Data'!AM19-MTOM_Data!AM19</f>
        <v>2.7435793392237429</v>
      </c>
      <c r="AN19" s="10">
        <f>'24MS_Data'!AN19-MTOM_Data!AN19</f>
        <v>3.0274804885266349E-10</v>
      </c>
      <c r="AO19" s="11">
        <f>'24MS_Data'!AO19-MTOM_Data!AO19</f>
        <v>-4.6400818973779678E-6</v>
      </c>
      <c r="AP19" s="12">
        <f>'24MS_Data'!AP19-MTOM_Data!AP19</f>
        <v>-5.9917226735706208E-10</v>
      </c>
      <c r="AQ19" s="11">
        <f>'24MS_Data'!AQ19-MTOM_Data!AQ19</f>
        <v>1.7621459846850485E-12</v>
      </c>
      <c r="AR19" s="11">
        <f>'24MS_Data'!AR19-MTOM_Data!AR19</f>
        <v>-5.3292023949325085E-6</v>
      </c>
      <c r="AS19" s="11">
        <f>'24MS_Data'!AS19-MTOM_Data!AS19</f>
        <v>-3.0783303373027593E-7</v>
      </c>
      <c r="AT19" s="13">
        <f>'24MS_Data'!AT19-MTOM_Data!AT19</f>
        <v>2.6029738364741206E-9</v>
      </c>
      <c r="AU19" s="11">
        <f>'24MS_Data'!AU19-MTOM_Data!AU19</f>
        <v>-1.0384246706962585E-7</v>
      </c>
      <c r="AV19" s="13">
        <f>'24MS_Data'!AV19-MTOM_Data!AV19</f>
        <v>3.1563104130327702E-8</v>
      </c>
    </row>
    <row r="20" spans="1:48" x14ac:dyDescent="0.25">
      <c r="A20" s="49">
        <f t="shared" si="0"/>
        <v>44620</v>
      </c>
      <c r="B20" s="10">
        <f>'24MS_Data'!B20-MTOM_Data!B20</f>
        <v>0.75723815014407592</v>
      </c>
      <c r="C20" s="11">
        <f>'24MS_Data'!C20-MTOM_Data!C20</f>
        <v>0</v>
      </c>
      <c r="D20" s="11">
        <f>'24MS_Data'!D20-MTOM_Data!D20</f>
        <v>5.7372959429234314</v>
      </c>
      <c r="E20" s="11">
        <f>'24MS_Data'!E20-MTOM_Data!E20</f>
        <v>0</v>
      </c>
      <c r="F20" s="10">
        <f>'24MS_Data'!F20-MTOM_Data!F20</f>
        <v>4.7930992061874349</v>
      </c>
      <c r="G20" s="11">
        <f>'24MS_Data'!G20-MTOM_Data!G20</f>
        <v>5.7372959430085757</v>
      </c>
      <c r="H20" s="11">
        <f>'24MS_Data'!H20-MTOM_Data!H20</f>
        <v>0</v>
      </c>
      <c r="I20" s="11">
        <f>'24MS_Data'!I20-MTOM_Data!I20</f>
        <v>24.204214876032886</v>
      </c>
      <c r="J20" s="12">
        <f>'24MS_Data'!J20-MTOM_Data!J20</f>
        <v>0</v>
      </c>
      <c r="K20" s="11">
        <f>'24MS_Data'!K20-MTOM_Data!K20</f>
        <v>-21.955457053805731</v>
      </c>
      <c r="L20" s="11">
        <f>'24MS_Data'!L20-MTOM_Data!L20</f>
        <v>0</v>
      </c>
      <c r="M20" s="11">
        <f>'24MS_Data'!M20-MTOM_Data!M20</f>
        <v>0.33699024793402277</v>
      </c>
      <c r="N20" s="10">
        <f>'24MS_Data'!N20-MTOM_Data!N20</f>
        <v>5.272404527560866</v>
      </c>
      <c r="O20" s="11">
        <f>'24MS_Data'!O20-MTOM_Data!O20</f>
        <v>0.33699024790037058</v>
      </c>
      <c r="P20" s="11">
        <f>'24MS_Data'!P20-MTOM_Data!P20</f>
        <v>0</v>
      </c>
      <c r="Q20" s="11">
        <f>'24MS_Data'!Q20-MTOM_Data!Q20</f>
        <v>-9.8686573273811042</v>
      </c>
      <c r="R20" s="12">
        <f>'24MS_Data'!R20-MTOM_Data!R20</f>
        <v>0</v>
      </c>
      <c r="S20" s="11">
        <f>'24MS_Data'!S20-MTOM_Data!S20</f>
        <v>-3.4039451322796594</v>
      </c>
      <c r="T20" s="11">
        <f>'24MS_Data'!T20-MTOM_Data!T20</f>
        <v>-177.73112305314237</v>
      </c>
      <c r="U20" s="11">
        <f>'24MS_Data'!U20-MTOM_Data!U20</f>
        <v>0</v>
      </c>
      <c r="V20" s="10">
        <f>'24MS_Data'!V20-MTOM_Data!V20</f>
        <v>-27.322945892143252</v>
      </c>
      <c r="W20" s="11">
        <f>'24MS_Data'!W20-MTOM_Data!W20</f>
        <v>0</v>
      </c>
      <c r="X20" s="12">
        <f>'24MS_Data'!X20-MTOM_Data!X20</f>
        <v>-3.4328811812754116</v>
      </c>
      <c r="Y20" s="11">
        <f>'24MS_Data'!Y20-MTOM_Data!Y20</f>
        <v>2.5105038984356725</v>
      </c>
      <c r="Z20" s="11">
        <f>'24MS_Data'!Z20-MTOM_Data!Z20</f>
        <v>-3.432881181212462</v>
      </c>
      <c r="AA20" s="11">
        <f>'24MS_Data'!AA20-MTOM_Data!AA20</f>
        <v>0</v>
      </c>
      <c r="AB20" s="11">
        <f>'24MS_Data'!AB20-MTOM_Data!AB20</f>
        <v>-5.8016528925577404E-2</v>
      </c>
      <c r="AC20" s="11">
        <f>'24MS_Data'!AC20-MTOM_Data!AC20</f>
        <v>0</v>
      </c>
      <c r="AD20" s="10">
        <f>'24MS_Data'!AD20-MTOM_Data!AD20</f>
        <v>-4.3746412349692037</v>
      </c>
      <c r="AE20" s="11">
        <f>'24MS_Data'!AE20-MTOM_Data!AE20</f>
        <v>-351.01348601559221</v>
      </c>
      <c r="AF20" s="11">
        <f>'24MS_Data'!AF20-MTOM_Data!AF20</f>
        <v>14.275511181600393</v>
      </c>
      <c r="AG20" s="11">
        <f>'24MS_Data'!AG20-MTOM_Data!AG20</f>
        <v>0</v>
      </c>
      <c r="AH20" s="11">
        <f>'24MS_Data'!AH20-MTOM_Data!AH20</f>
        <v>-0.26193149785255176</v>
      </c>
      <c r="AI20" s="11">
        <f>'24MS_Data'!AI20-MTOM_Data!AI20</f>
        <v>3.333298081997782E-10</v>
      </c>
      <c r="AJ20" s="12">
        <f>'24MS_Data'!AJ20-MTOM_Data!AJ20</f>
        <v>0</v>
      </c>
      <c r="AK20" s="11">
        <f>'24MS_Data'!AK20-MTOM_Data!AK20</f>
        <v>2.3121033423592507</v>
      </c>
      <c r="AL20" s="11">
        <f>'24MS_Data'!AL20-MTOM_Data!AL20</f>
        <v>9.7509473562240601E-7</v>
      </c>
      <c r="AM20" s="11">
        <f>'24MS_Data'!AM20-MTOM_Data!AM20</f>
        <v>2.5451324049119251</v>
      </c>
      <c r="AN20" s="10">
        <f>'24MS_Data'!AN20-MTOM_Data!AN20</f>
        <v>2.9490365704987198E-10</v>
      </c>
      <c r="AO20" s="11">
        <f>'24MS_Data'!AO20-MTOM_Data!AO20</f>
        <v>1.2356904335319996E-6</v>
      </c>
      <c r="AP20" s="12">
        <f>'24MS_Data'!AP20-MTOM_Data!AP20</f>
        <v>-2.6147972675971687E-12</v>
      </c>
      <c r="AQ20" s="11">
        <f>'24MS_Data'!AQ20-MTOM_Data!AQ20</f>
        <v>1.3642420526593924E-12</v>
      </c>
      <c r="AR20" s="11">
        <f>'24MS_Data'!AR20-MTOM_Data!AR20</f>
        <v>2.8352951630949974E-7</v>
      </c>
      <c r="AS20" s="11">
        <f>'24MS_Data'!AS20-MTOM_Data!AS20</f>
        <v>1.8098944565281272E-8</v>
      </c>
      <c r="AT20" s="13">
        <f>'24MS_Data'!AT20-MTOM_Data!AT20</f>
        <v>-3.2378011383116245E-10</v>
      </c>
      <c r="AU20" s="11">
        <f>'24MS_Data'!AU20-MTOM_Data!AU20</f>
        <v>-4.2164174374192953E-9</v>
      </c>
      <c r="AV20" s="13">
        <f>'24MS_Data'!AV20-MTOM_Data!AV20</f>
        <v>-8.6423824541270733E-8</v>
      </c>
    </row>
    <row r="21" spans="1:48" x14ac:dyDescent="0.25">
      <c r="A21" s="49">
        <f t="shared" si="0"/>
        <v>44651</v>
      </c>
      <c r="B21" s="10">
        <f>'24MS_Data'!B21-MTOM_Data!B21</f>
        <v>0.47597573231360002</v>
      </c>
      <c r="C21" s="11">
        <f>'24MS_Data'!C21-MTOM_Data!C21</f>
        <v>0</v>
      </c>
      <c r="D21" s="11">
        <f>'24MS_Data'!D21-MTOM_Data!D21</f>
        <v>1.4430776510937022</v>
      </c>
      <c r="E21" s="11">
        <f>'24MS_Data'!E21-MTOM_Data!E21</f>
        <v>0</v>
      </c>
      <c r="F21" s="10">
        <f>'24MS_Data'!F21-MTOM_Data!F21</f>
        <v>3.159214365002299</v>
      </c>
      <c r="G21" s="11">
        <f>'24MS_Data'!G21-MTOM_Data!G21</f>
        <v>1.4430776510568251</v>
      </c>
      <c r="H21" s="11">
        <f>'24MS_Data'!H21-MTOM_Data!H21</f>
        <v>0</v>
      </c>
      <c r="I21" s="11">
        <f>'24MS_Data'!I21-MTOM_Data!I21</f>
        <v>63.019917355371746</v>
      </c>
      <c r="J21" s="12">
        <f>'24MS_Data'!J21-MTOM_Data!J21</f>
        <v>0</v>
      </c>
      <c r="K21" s="11">
        <f>'24MS_Data'!K21-MTOM_Data!K21</f>
        <v>-21.146558234908298</v>
      </c>
      <c r="L21" s="11">
        <f>'24MS_Data'!L21-MTOM_Data!L21</f>
        <v>0</v>
      </c>
      <c r="M21" s="11">
        <f>'24MS_Data'!M21-MTOM_Data!M21</f>
        <v>-1.5891699999973943</v>
      </c>
      <c r="N21" s="10">
        <f>'24MS_Data'!N21-MTOM_Data!N21</f>
        <v>6.3941745078773238</v>
      </c>
      <c r="O21" s="11">
        <f>'24MS_Data'!O21-MTOM_Data!O21</f>
        <v>-1.5891699999483819</v>
      </c>
      <c r="P21" s="11">
        <f>'24MS_Data'!P21-MTOM_Data!P21</f>
        <v>0</v>
      </c>
      <c r="Q21" s="11">
        <f>'24MS_Data'!Q21-MTOM_Data!Q21</f>
        <v>-10.219895157489873</v>
      </c>
      <c r="R21" s="12">
        <f>'24MS_Data'!R21-MTOM_Data!R21</f>
        <v>0</v>
      </c>
      <c r="S21" s="11">
        <f>'24MS_Data'!S21-MTOM_Data!S21</f>
        <v>-3.4066457022991017</v>
      </c>
      <c r="T21" s="11">
        <f>'24MS_Data'!T21-MTOM_Data!T21</f>
        <v>-166.13284852861352</v>
      </c>
      <c r="U21" s="11">
        <f>'24MS_Data'!U21-MTOM_Data!U21</f>
        <v>0</v>
      </c>
      <c r="V21" s="10">
        <f>'24MS_Data'!V21-MTOM_Data!V21</f>
        <v>-22.800019923338368</v>
      </c>
      <c r="W21" s="11">
        <f>'24MS_Data'!W21-MTOM_Data!W21</f>
        <v>0</v>
      </c>
      <c r="X21" s="12">
        <f>'24MS_Data'!X21-MTOM_Data!X21</f>
        <v>-6.0987508156983328</v>
      </c>
      <c r="Y21" s="11">
        <f>'24MS_Data'!Y21-MTOM_Data!Y21</f>
        <v>1.9301229331476861</v>
      </c>
      <c r="Z21" s="11">
        <f>'24MS_Data'!Z21-MTOM_Data!Z21</f>
        <v>-6.0987508157511172</v>
      </c>
      <c r="AA21" s="11">
        <f>'24MS_Data'!AA21-MTOM_Data!AA21</f>
        <v>0</v>
      </c>
      <c r="AB21" s="11">
        <f>'24MS_Data'!AB21-MTOM_Data!AB21</f>
        <v>-6.06611570247928E-2</v>
      </c>
      <c r="AC21" s="11">
        <f>'24MS_Data'!AC21-MTOM_Data!AC21</f>
        <v>0</v>
      </c>
      <c r="AD21" s="10">
        <f>'24MS_Data'!AD21-MTOM_Data!AD21</f>
        <v>-3.7896032525454757</v>
      </c>
      <c r="AE21" s="11">
        <f>'24MS_Data'!AE21-MTOM_Data!AE21</f>
        <v>-301.80101338765417</v>
      </c>
      <c r="AF21" s="11">
        <f>'24MS_Data'!AF21-MTOM_Data!AF21</f>
        <v>52.744145512862474</v>
      </c>
      <c r="AG21" s="11">
        <f>'24MS_Data'!AG21-MTOM_Data!AG21</f>
        <v>0</v>
      </c>
      <c r="AH21" s="11">
        <f>'24MS_Data'!AH21-MTOM_Data!AH21</f>
        <v>-0.40532374943701299</v>
      </c>
      <c r="AI21" s="11">
        <f>'24MS_Data'!AI21-MTOM_Data!AI21</f>
        <v>-3.4174263419117779E-10</v>
      </c>
      <c r="AJ21" s="12">
        <f>'24MS_Data'!AJ21-MTOM_Data!AJ21</f>
        <v>0</v>
      </c>
      <c r="AK21" s="11">
        <f>'24MS_Data'!AK21-MTOM_Data!AK21</f>
        <v>2.3360071269021319</v>
      </c>
      <c r="AL21" s="11">
        <f>'24MS_Data'!AL21-MTOM_Data!AL21</f>
        <v>2.60199885815382E-6</v>
      </c>
      <c r="AM21" s="11">
        <f>'24MS_Data'!AM21-MTOM_Data!AM21</f>
        <v>3.1439068549306057</v>
      </c>
      <c r="AN21" s="10">
        <f>'24MS_Data'!AN21-MTOM_Data!AN21</f>
        <v>-9.4451024779118598E-10</v>
      </c>
      <c r="AO21" s="11">
        <f>'24MS_Data'!AO21-MTOM_Data!AO21</f>
        <v>1.176958903670311E-7</v>
      </c>
      <c r="AP21" s="12">
        <f>'24MS_Data'!AP21-MTOM_Data!AP21</f>
        <v>5.6463989039912121E-10</v>
      </c>
      <c r="AQ21" s="11">
        <f>'24MS_Data'!AQ21-MTOM_Data!AQ21</f>
        <v>6.4858340920181945E-11</v>
      </c>
      <c r="AR21" s="11">
        <f>'24MS_Data'!AR21-MTOM_Data!AR21</f>
        <v>5.4377596825361252E-7</v>
      </c>
      <c r="AS21" s="11">
        <f>'24MS_Data'!AS21-MTOM_Data!AS21</f>
        <v>6.3009792938828468E-8</v>
      </c>
      <c r="AT21" s="13">
        <f>'24MS_Data'!AT21-MTOM_Data!AT21</f>
        <v>5.2878021961078048E-9</v>
      </c>
      <c r="AU21" s="11">
        <f>'24MS_Data'!AU21-MTOM_Data!AU21</f>
        <v>2.2933818399906158E-8</v>
      </c>
      <c r="AV21" s="13">
        <f>'24MS_Data'!AV21-MTOM_Data!AV21</f>
        <v>7.59901013225317E-8</v>
      </c>
    </row>
    <row r="22" spans="1:48" x14ac:dyDescent="0.25">
      <c r="A22" s="49">
        <f t="shared" si="0"/>
        <v>44681</v>
      </c>
      <c r="B22" s="10">
        <f>'24MS_Data'!B22-MTOM_Data!B22</f>
        <v>4.6406577427687807</v>
      </c>
      <c r="C22" s="11">
        <f>'24MS_Data'!C22-MTOM_Data!C22</f>
        <v>0</v>
      </c>
      <c r="D22" s="11">
        <f>'24MS_Data'!D22-MTOM_Data!D22</f>
        <v>-16.652939039622865</v>
      </c>
      <c r="E22" s="11">
        <f>'24MS_Data'!E22-MTOM_Data!E22</f>
        <v>0</v>
      </c>
      <c r="F22" s="10">
        <f>'24MS_Data'!F22-MTOM_Data!F22</f>
        <v>1.1288411394252762</v>
      </c>
      <c r="G22" s="11">
        <f>'24MS_Data'!G22-MTOM_Data!G22</f>
        <v>-16.652939039661291</v>
      </c>
      <c r="H22" s="11">
        <f>'24MS_Data'!H22-MTOM_Data!H22</f>
        <v>0</v>
      </c>
      <c r="I22" s="11">
        <f>'24MS_Data'!I22-MTOM_Data!I22</f>
        <v>60.996694214876378</v>
      </c>
      <c r="J22" s="12">
        <f>'24MS_Data'!J22-MTOM_Data!J22</f>
        <v>0</v>
      </c>
      <c r="K22" s="11">
        <f>'24MS_Data'!K22-MTOM_Data!K22</f>
        <v>-21.651881003937888</v>
      </c>
      <c r="L22" s="11">
        <f>'24MS_Data'!L22-MTOM_Data!L22</f>
        <v>0</v>
      </c>
      <c r="M22" s="11">
        <f>'24MS_Data'!M22-MTOM_Data!M22</f>
        <v>0.24847000000011832</v>
      </c>
      <c r="N22" s="10">
        <f>'24MS_Data'!N22-MTOM_Data!N22</f>
        <v>4.9359932151373869</v>
      </c>
      <c r="O22" s="11">
        <f>'24MS_Data'!O22-MTOM_Data!O22</f>
        <v>0.24847000000842456</v>
      </c>
      <c r="P22" s="11">
        <f>'24MS_Data'!P22-MTOM_Data!P22</f>
        <v>0</v>
      </c>
      <c r="Q22" s="11">
        <f>'24MS_Data'!Q22-MTOM_Data!Q22</f>
        <v>10.460358464379325</v>
      </c>
      <c r="R22" s="12">
        <f>'24MS_Data'!R22-MTOM_Data!R22</f>
        <v>0</v>
      </c>
      <c r="S22" s="11">
        <f>'24MS_Data'!S22-MTOM_Data!S22</f>
        <v>-3.4036249821319871</v>
      </c>
      <c r="T22" s="11">
        <f>'24MS_Data'!T22-MTOM_Data!T22</f>
        <v>175.78850930877275</v>
      </c>
      <c r="U22" s="11">
        <f>'24MS_Data'!U22-MTOM_Data!U22</f>
        <v>0</v>
      </c>
      <c r="V22" s="10">
        <f>'24MS_Data'!V22-MTOM_Data!V22</f>
        <v>-19.223565301957024</v>
      </c>
      <c r="W22" s="11">
        <f>'24MS_Data'!W22-MTOM_Data!W22</f>
        <v>0</v>
      </c>
      <c r="X22" s="12">
        <f>'24MS_Data'!X22-MTOM_Data!X22</f>
        <v>-1.2105024544361509</v>
      </c>
      <c r="Y22" s="11">
        <f>'24MS_Data'!Y22-MTOM_Data!Y22</f>
        <v>1.4790832877497451</v>
      </c>
      <c r="Z22" s="11">
        <f>'24MS_Data'!Z22-MTOM_Data!Z22</f>
        <v>-1.210502454432941</v>
      </c>
      <c r="AA22" s="11">
        <f>'24MS_Data'!AA22-MTOM_Data!AA22</f>
        <v>0</v>
      </c>
      <c r="AB22" s="11">
        <f>'24MS_Data'!AB22-MTOM_Data!AB22</f>
        <v>3.5135537190083035</v>
      </c>
      <c r="AC22" s="11">
        <f>'24MS_Data'!AC22-MTOM_Data!AC22</f>
        <v>0</v>
      </c>
      <c r="AD22" s="10">
        <f>'24MS_Data'!AD22-MTOM_Data!AD22</f>
        <v>-2.8796767582803113</v>
      </c>
      <c r="AE22" s="11">
        <f>'24MS_Data'!AE22-MTOM_Data!AE22</f>
        <v>-231.90647990131401</v>
      </c>
      <c r="AF22" s="11">
        <f>'24MS_Data'!AF22-MTOM_Data!AF22</f>
        <v>74.970390636000047</v>
      </c>
      <c r="AG22" s="11">
        <f>'24MS_Data'!AG22-MTOM_Data!AG22</f>
        <v>0</v>
      </c>
      <c r="AH22" s="11">
        <f>'24MS_Data'!AH22-MTOM_Data!AH22</f>
        <v>-0.51570383989851365</v>
      </c>
      <c r="AI22" s="11">
        <f>'24MS_Data'!AI22-MTOM_Data!AI22</f>
        <v>-3.9779024518793449E-10</v>
      </c>
      <c r="AJ22" s="12">
        <f>'24MS_Data'!AJ22-MTOM_Data!AJ22</f>
        <v>0</v>
      </c>
      <c r="AK22" s="11">
        <f>'24MS_Data'!AK22-MTOM_Data!AK22</f>
        <v>2.3790020097490014</v>
      </c>
      <c r="AL22" s="11">
        <f>'24MS_Data'!AL22-MTOM_Data!AL22</f>
        <v>9.2330388724803925E-5</v>
      </c>
      <c r="AM22" s="11">
        <f>'24MS_Data'!AM22-MTOM_Data!AM22</f>
        <v>3.1956649551545411</v>
      </c>
      <c r="AN22" s="10">
        <f>'24MS_Data'!AN22-MTOM_Data!AN22</f>
        <v>1.3263843356980942E-9</v>
      </c>
      <c r="AO22" s="11">
        <f>'24MS_Data'!AO22-MTOM_Data!AO22</f>
        <v>4.8143207095563412E-5</v>
      </c>
      <c r="AP22" s="12">
        <f>'24MS_Data'!AP22-MTOM_Data!AP22</f>
        <v>6.431491783587262E-9</v>
      </c>
      <c r="AQ22" s="11">
        <f>'24MS_Data'!AQ22-MTOM_Data!AQ22</f>
        <v>1.1382326192688197E-9</v>
      </c>
      <c r="AR22" s="11">
        <f>'24MS_Data'!AR22-MTOM_Data!AR22</f>
        <v>4.8713292926549911E-5</v>
      </c>
      <c r="AS22" s="11">
        <f>'24MS_Data'!AS22-MTOM_Data!AS22</f>
        <v>3.2906682463362813E-6</v>
      </c>
      <c r="AT22" s="13">
        <f>'24MS_Data'!AT22-MTOM_Data!AT22</f>
        <v>2.6084308046847582E-9</v>
      </c>
      <c r="AU22" s="11">
        <f>'24MS_Data'!AU22-MTOM_Data!AU22</f>
        <v>6.3446350395679474E-8</v>
      </c>
      <c r="AV22" s="13">
        <f>'24MS_Data'!AV22-MTOM_Data!AV22</f>
        <v>-2.9423972591757774E-8</v>
      </c>
    </row>
    <row r="23" spans="1:48" x14ac:dyDescent="0.25">
      <c r="A23" s="49">
        <f t="shared" si="0"/>
        <v>44712</v>
      </c>
      <c r="B23" s="10">
        <f>'24MS_Data'!B23-MTOM_Data!B23</f>
        <v>4.6395327427653683</v>
      </c>
      <c r="C23" s="11">
        <f>'24MS_Data'!C23-MTOM_Data!C23</f>
        <v>0</v>
      </c>
      <c r="D23" s="11">
        <f>'24MS_Data'!D23-MTOM_Data!D23</f>
        <v>-8.4081875001541704</v>
      </c>
      <c r="E23" s="11">
        <f>'24MS_Data'!E23-MTOM_Data!E23</f>
        <v>-2.9152791587277784</v>
      </c>
      <c r="F23" s="10">
        <f>'24MS_Data'!F23-MTOM_Data!F23</f>
        <v>0.23080590823974489</v>
      </c>
      <c r="G23" s="11">
        <f>'24MS_Data'!G23-MTOM_Data!G23</f>
        <v>-8.4081875000925379</v>
      </c>
      <c r="H23" s="11">
        <f>'24MS_Data'!H23-MTOM_Data!H23</f>
        <v>0</v>
      </c>
      <c r="I23" s="11">
        <f>'24MS_Data'!I23-MTOM_Data!I23</f>
        <v>26.247520661161467</v>
      </c>
      <c r="J23" s="12">
        <f>'24MS_Data'!J23-MTOM_Data!J23</f>
        <v>0</v>
      </c>
      <c r="K23" s="11">
        <f>'24MS_Data'!K23-MTOM_Data!K23</f>
        <v>-19.589329724409254</v>
      </c>
      <c r="L23" s="11">
        <f>'24MS_Data'!L23-MTOM_Data!L23</f>
        <v>0</v>
      </c>
      <c r="M23" s="11">
        <f>'24MS_Data'!M23-MTOM_Data!M23</f>
        <v>2.3644799999955151</v>
      </c>
      <c r="N23" s="10">
        <f>'24MS_Data'!N23-MTOM_Data!N23</f>
        <v>-7.5181628939817529</v>
      </c>
      <c r="O23" s="11">
        <f>'24MS_Data'!O23-MTOM_Data!O23</f>
        <v>2.3644799999951545</v>
      </c>
      <c r="P23" s="11">
        <f>'24MS_Data'!P23-MTOM_Data!P23</f>
        <v>0</v>
      </c>
      <c r="Q23" s="11">
        <f>'24MS_Data'!Q23-MTOM_Data!Q23</f>
        <v>100.04579606585929</v>
      </c>
      <c r="R23" s="12">
        <f>'24MS_Data'!R23-MTOM_Data!R23</f>
        <v>31.905903662675275</v>
      </c>
      <c r="S23" s="11">
        <f>'24MS_Data'!S23-MTOM_Data!S23</f>
        <v>-3.4066457021081078</v>
      </c>
      <c r="T23" s="11">
        <f>'24MS_Data'!T23-MTOM_Data!T23</f>
        <v>1627.2134580968623</v>
      </c>
      <c r="U23" s="11">
        <f>'24MS_Data'!U23-MTOM_Data!U23</f>
        <v>98.118296554083628</v>
      </c>
      <c r="V23" s="10">
        <f>'24MS_Data'!V23-MTOM_Data!V23</f>
        <v>-9.6744152601013411</v>
      </c>
      <c r="W23" s="11">
        <f>'24MS_Data'!W23-MTOM_Data!W23</f>
        <v>0</v>
      </c>
      <c r="X23" s="12">
        <f>'24MS_Data'!X23-MTOM_Data!X23</f>
        <v>-19.170022200979552</v>
      </c>
      <c r="Y23" s="11">
        <f>'24MS_Data'!Y23-MTOM_Data!Y23</f>
        <v>1.9638788821775961</v>
      </c>
      <c r="Z23" s="11">
        <f>'24MS_Data'!Z23-MTOM_Data!Z23</f>
        <v>-19.170022201007583</v>
      </c>
      <c r="AA23" s="11">
        <f>'24MS_Data'!AA23-MTOM_Data!AA23</f>
        <v>0</v>
      </c>
      <c r="AB23" s="11">
        <f>'24MS_Data'!AB23-MTOM_Data!AB23</f>
        <v>-27.435702479338815</v>
      </c>
      <c r="AC23" s="11">
        <f>'24MS_Data'!AC23-MTOM_Data!AC23</f>
        <v>0</v>
      </c>
      <c r="AD23" s="10">
        <f>'24MS_Data'!AD23-MTOM_Data!AD23</f>
        <v>-1.6051042536664681</v>
      </c>
      <c r="AE23" s="11">
        <f>'24MS_Data'!AE23-MTOM_Data!AE23</f>
        <v>-139.97896739784119</v>
      </c>
      <c r="AF23" s="11">
        <f>'24MS_Data'!AF23-MTOM_Data!AF23</f>
        <v>98.865273788373315</v>
      </c>
      <c r="AG23" s="11">
        <f>'24MS_Data'!AG23-MTOM_Data!AG23</f>
        <v>0</v>
      </c>
      <c r="AH23" s="11">
        <f>'24MS_Data'!AH23-MTOM_Data!AH23</f>
        <v>-0.41643988048235059</v>
      </c>
      <c r="AI23" s="11">
        <f>'24MS_Data'!AI23-MTOM_Data!AI23</f>
        <v>-3.9517544792033732E-10</v>
      </c>
      <c r="AJ23" s="12">
        <f>'24MS_Data'!AJ23-MTOM_Data!AJ23</f>
        <v>0</v>
      </c>
      <c r="AK23" s="11">
        <f>'24MS_Data'!AK23-MTOM_Data!AK23</f>
        <v>2.4225857031249234</v>
      </c>
      <c r="AL23" s="11">
        <f>'24MS_Data'!AL23-MTOM_Data!AL23</f>
        <v>9.7056617960333824E-6</v>
      </c>
      <c r="AM23" s="11">
        <f>'24MS_Data'!AM23-MTOM_Data!AM23</f>
        <v>3.500864413290401</v>
      </c>
      <c r="AN23" s="10">
        <f>'24MS_Data'!AN23-MTOM_Data!AN23</f>
        <v>6.1504579207394272E-10</v>
      </c>
      <c r="AO23" s="11">
        <f>'24MS_Data'!AO23-MTOM_Data!AO23</f>
        <v>1.4461111277341843E-6</v>
      </c>
      <c r="AP23" s="12">
        <f>'24MS_Data'!AP23-MTOM_Data!AP23</f>
        <v>1.1144152267661411E-9</v>
      </c>
      <c r="AQ23" s="11">
        <f>'24MS_Data'!AQ23-MTOM_Data!AQ23</f>
        <v>5.6843418860808015E-12</v>
      </c>
      <c r="AR23" s="11">
        <f>'24MS_Data'!AR23-MTOM_Data!AR23</f>
        <v>8.1525649875402451E-7</v>
      </c>
      <c r="AS23" s="11">
        <f>'24MS_Data'!AS23-MTOM_Data!AS23</f>
        <v>2.8667272999882698E-8</v>
      </c>
      <c r="AT23" s="13">
        <f>'24MS_Data'!AT23-MTOM_Data!AT23</f>
        <v>2.4843757273629308E-8</v>
      </c>
      <c r="AU23" s="11">
        <f>'24MS_Data'!AU23-MTOM_Data!AU23</f>
        <v>7.3006958700716496E-8</v>
      </c>
      <c r="AV23" s="13">
        <f>'24MS_Data'!AV23-MTOM_Data!AV23</f>
        <v>1.0579242371022701E-7</v>
      </c>
    </row>
    <row r="24" spans="1:48" x14ac:dyDescent="0.25">
      <c r="A24" s="49">
        <f t="shared" si="0"/>
        <v>44742</v>
      </c>
      <c r="B24" s="10">
        <f>'24MS_Data'!B24-MTOM_Data!B24</f>
        <v>-0.35530738059787836</v>
      </c>
      <c r="C24" s="11">
        <f>'24MS_Data'!C24-MTOM_Data!C24</f>
        <v>0</v>
      </c>
      <c r="D24" s="11">
        <f>'24MS_Data'!D24-MTOM_Data!D24</f>
        <v>29.334729999779597</v>
      </c>
      <c r="E24" s="11">
        <f>'24MS_Data'!E24-MTOM_Data!E24</f>
        <v>28.348403460387722</v>
      </c>
      <c r="F24" s="10">
        <f>'24MS_Data'!F24-MTOM_Data!F24</f>
        <v>2.8742022888463907</v>
      </c>
      <c r="G24" s="11">
        <f>'24MS_Data'!G24-MTOM_Data!G24</f>
        <v>29.33472999954094</v>
      </c>
      <c r="H24" s="11">
        <f>'24MS_Data'!H24-MTOM_Data!H24</f>
        <v>0</v>
      </c>
      <c r="I24" s="11">
        <f>'24MS_Data'!I24-MTOM_Data!I24</f>
        <v>-73.435758047946365</v>
      </c>
      <c r="J24" s="12">
        <f>'24MS_Data'!J24-MTOM_Data!J24</f>
        <v>-74.112179064973361</v>
      </c>
      <c r="K24" s="11">
        <f>'24MS_Data'!K24-MTOM_Data!K24</f>
        <v>-16.748406496062671</v>
      </c>
      <c r="L24" s="11">
        <f>'24MS_Data'!L24-MTOM_Data!L24</f>
        <v>0</v>
      </c>
      <c r="M24" s="11">
        <f>'24MS_Data'!M24-MTOM_Data!M24</f>
        <v>1.1040199999970888</v>
      </c>
      <c r="N24" s="10">
        <f>'24MS_Data'!N24-MTOM_Data!N24</f>
        <v>-4.4689388451452032</v>
      </c>
      <c r="O24" s="11">
        <f>'24MS_Data'!O24-MTOM_Data!O24</f>
        <v>1.1040200000475693</v>
      </c>
      <c r="P24" s="11">
        <f>'24MS_Data'!P24-MTOM_Data!P24</f>
        <v>0</v>
      </c>
      <c r="Q24" s="11">
        <f>'24MS_Data'!Q24-MTOM_Data!Q24</f>
        <v>-17.952171925510413</v>
      </c>
      <c r="R24" s="12">
        <f>'24MS_Data'!R24-MTOM_Data!R24</f>
        <v>0</v>
      </c>
      <c r="S24" s="11">
        <f>'24MS_Data'!S24-MTOM_Data!S24</f>
        <v>-3.4012817470174923</v>
      </c>
      <c r="T24" s="11">
        <f>'24MS_Data'!T24-MTOM_Data!T24</f>
        <v>-301.70266456457671</v>
      </c>
      <c r="U24" s="11">
        <f>'24MS_Data'!U24-MTOM_Data!U24</f>
        <v>0</v>
      </c>
      <c r="V24" s="10">
        <f>'24MS_Data'!V24-MTOM_Data!V24</f>
        <v>-2.0416433505342866</v>
      </c>
      <c r="W24" s="11">
        <f>'24MS_Data'!W24-MTOM_Data!W24</f>
        <v>0</v>
      </c>
      <c r="X24" s="12">
        <f>'24MS_Data'!X24-MTOM_Data!X24</f>
        <v>-19.396150850563657</v>
      </c>
      <c r="Y24" s="11">
        <f>'24MS_Data'!Y24-MTOM_Data!Y24</f>
        <v>7.3263950170276075</v>
      </c>
      <c r="Z24" s="11">
        <f>'24MS_Data'!Z24-MTOM_Data!Z24</f>
        <v>-19.39615085066859</v>
      </c>
      <c r="AA24" s="11">
        <f>'24MS_Data'!AA24-MTOM_Data!AA24</f>
        <v>0</v>
      </c>
      <c r="AB24" s="11">
        <f>'24MS_Data'!AB24-MTOM_Data!AB24</f>
        <v>-95.736270053406287</v>
      </c>
      <c r="AC24" s="11">
        <f>'24MS_Data'!AC24-MTOM_Data!AC24</f>
        <v>0</v>
      </c>
      <c r="AD24" s="10">
        <f>'24MS_Data'!AD24-MTOM_Data!AD24</f>
        <v>-3.2827124124191869</v>
      </c>
      <c r="AE24" s="11">
        <f>'24MS_Data'!AE24-MTOM_Data!AE24</f>
        <v>-312.59121092795067</v>
      </c>
      <c r="AF24" s="11">
        <f>'24MS_Data'!AF24-MTOM_Data!AF24</f>
        <v>-187.12458333976474</v>
      </c>
      <c r="AG24" s="11">
        <f>'24MS_Data'!AG24-MTOM_Data!AG24</f>
        <v>0</v>
      </c>
      <c r="AH24" s="11">
        <f>'24MS_Data'!AH24-MTOM_Data!AH24</f>
        <v>-0.70335993857755597</v>
      </c>
      <c r="AI24" s="11">
        <f>'24MS_Data'!AI24-MTOM_Data!AI24</f>
        <v>-5.0704329623840749E-11</v>
      </c>
      <c r="AJ24" s="12">
        <f>'24MS_Data'!AJ24-MTOM_Data!AJ24</f>
        <v>0</v>
      </c>
      <c r="AK24" s="11">
        <f>'24MS_Data'!AK24-MTOM_Data!AK24</f>
        <v>2.4619779167642264</v>
      </c>
      <c r="AL24" s="11">
        <f>'24MS_Data'!AL24-MTOM_Data!AL24</f>
        <v>-5.7541648857295513E-5</v>
      </c>
      <c r="AM24" s="11">
        <f>'24MS_Data'!AM24-MTOM_Data!AM24</f>
        <v>3.5698343488817841</v>
      </c>
      <c r="AN24" s="10">
        <f>'24MS_Data'!AN24-MTOM_Data!AN24</f>
        <v>6.1720584199065343E-10</v>
      </c>
      <c r="AO24" s="11">
        <f>'24MS_Data'!AO24-MTOM_Data!AO24</f>
        <v>-5.4037664085626602E-6</v>
      </c>
      <c r="AP24" s="12">
        <f>'24MS_Data'!AP24-MTOM_Data!AP24</f>
        <v>-1.9794299532804871E-10</v>
      </c>
      <c r="AQ24" s="11">
        <f>'24MS_Data'!AQ24-MTOM_Data!AQ24</f>
        <v>1.2221335055073723E-11</v>
      </c>
      <c r="AR24" s="11">
        <f>'24MS_Data'!AR24-MTOM_Data!AR24</f>
        <v>-5.3872354328632355E-6</v>
      </c>
      <c r="AS24" s="11">
        <f>'24MS_Data'!AS24-MTOM_Data!AS24</f>
        <v>-2.9204238671809435E-7</v>
      </c>
      <c r="AT24" s="13">
        <f>'24MS_Data'!AT24-MTOM_Data!AT24</f>
        <v>-6.6545908339321613E-8</v>
      </c>
      <c r="AU24" s="11">
        <f>'24MS_Data'!AU24-MTOM_Data!AU24</f>
        <v>-1.0094663593918085E-7</v>
      </c>
      <c r="AV24" s="13">
        <f>'24MS_Data'!AV24-MTOM_Data!AV24</f>
        <v>-9.7003066912293434E-8</v>
      </c>
    </row>
    <row r="25" spans="1:48" x14ac:dyDescent="0.25">
      <c r="A25" s="49">
        <f t="shared" si="0"/>
        <v>44773</v>
      </c>
      <c r="B25" s="10">
        <f>'24MS_Data'!B25-MTOM_Data!B25</f>
        <v>-3.7105870405803216</v>
      </c>
      <c r="C25" s="11">
        <f>'24MS_Data'!C25-MTOM_Data!C25</f>
        <v>0</v>
      </c>
      <c r="D25" s="11">
        <f>'24MS_Data'!D25-MTOM_Data!D25</f>
        <v>26.421282519734703</v>
      </c>
      <c r="E25" s="11">
        <f>'24MS_Data'!E25-MTOM_Data!E25</f>
        <v>24.469781736840964</v>
      </c>
      <c r="F25" s="10">
        <f>'24MS_Data'!F25-MTOM_Data!F25</f>
        <v>4.1956492848721609</v>
      </c>
      <c r="G25" s="11">
        <f>'24MS_Data'!G25-MTOM_Data!G25</f>
        <v>26.421282519676708</v>
      </c>
      <c r="H25" s="11">
        <f>'24MS_Data'!H25-MTOM_Data!H25</f>
        <v>0</v>
      </c>
      <c r="I25" s="11">
        <f>'24MS_Data'!I25-MTOM_Data!I25</f>
        <v>-27.364785863948981</v>
      </c>
      <c r="J25" s="12">
        <f>'24MS_Data'!J25-MTOM_Data!J25</f>
        <v>0</v>
      </c>
      <c r="K25" s="11">
        <f>'24MS_Data'!K25-MTOM_Data!K25</f>
        <v>-20.245998950133071</v>
      </c>
      <c r="L25" s="11">
        <f>'24MS_Data'!L25-MTOM_Data!L25</f>
        <v>0</v>
      </c>
      <c r="M25" s="11">
        <f>'24MS_Data'!M25-MTOM_Data!M25</f>
        <v>4.8379500000032287</v>
      </c>
      <c r="N25" s="10">
        <f>'24MS_Data'!N25-MTOM_Data!N25</f>
        <v>-1.7561956692916283</v>
      </c>
      <c r="O25" s="11">
        <f>'24MS_Data'!O25-MTOM_Data!O25</f>
        <v>4.8379500000942244</v>
      </c>
      <c r="P25" s="11">
        <f>'24MS_Data'!P25-MTOM_Data!P25</f>
        <v>0</v>
      </c>
      <c r="Q25" s="11">
        <f>'24MS_Data'!Q25-MTOM_Data!Q25</f>
        <v>-19.154452552629422</v>
      </c>
      <c r="R25" s="12">
        <f>'24MS_Data'!R25-MTOM_Data!R25</f>
        <v>0</v>
      </c>
      <c r="S25" s="11">
        <f>'24MS_Data'!S25-MTOM_Data!S25</f>
        <v>-3.4066457021081078</v>
      </c>
      <c r="T25" s="11">
        <f>'24MS_Data'!T25-MTOM_Data!T25</f>
        <v>-311.32819914480342</v>
      </c>
      <c r="U25" s="11">
        <f>'24MS_Data'!U25-MTOM_Data!U25</f>
        <v>0</v>
      </c>
      <c r="V25" s="10">
        <f>'24MS_Data'!V25-MTOM_Data!V25</f>
        <v>-4.0703757982646493</v>
      </c>
      <c r="W25" s="11">
        <f>'24MS_Data'!W25-MTOM_Data!W25</f>
        <v>0</v>
      </c>
      <c r="X25" s="12">
        <f>'24MS_Data'!X25-MTOM_Data!X25</f>
        <v>4.9817249658175982</v>
      </c>
      <c r="Y25" s="11">
        <f>'24MS_Data'!Y25-MTOM_Data!Y25</f>
        <v>7.4628459918785666</v>
      </c>
      <c r="Z25" s="11">
        <f>'24MS_Data'!Z25-MTOM_Data!Z25</f>
        <v>4.9817249657351752</v>
      </c>
      <c r="AA25" s="11">
        <f>'24MS_Data'!AA25-MTOM_Data!AA25</f>
        <v>0</v>
      </c>
      <c r="AB25" s="11">
        <f>'24MS_Data'!AB25-MTOM_Data!AB25</f>
        <v>4.5964651192249555</v>
      </c>
      <c r="AC25" s="11">
        <f>'24MS_Data'!AC25-MTOM_Data!AC25</f>
        <v>0</v>
      </c>
      <c r="AD25" s="10">
        <f>'24MS_Data'!AD25-MTOM_Data!AD25</f>
        <v>-3.6654246434754896</v>
      </c>
      <c r="AE25" s="11">
        <f>'24MS_Data'!AE25-MTOM_Data!AE25</f>
        <v>-350.27397475183352</v>
      </c>
      <c r="AF25" s="11">
        <f>'24MS_Data'!AF25-MTOM_Data!AF25</f>
        <v>-41.911145551299796</v>
      </c>
      <c r="AG25" s="11">
        <f>'24MS_Data'!AG25-MTOM_Data!AG25</f>
        <v>0</v>
      </c>
      <c r="AH25" s="11">
        <f>'24MS_Data'!AH25-MTOM_Data!AH25</f>
        <v>-1.2137616552164516</v>
      </c>
      <c r="AI25" s="11">
        <f>'24MS_Data'!AI25-MTOM_Data!AI25</f>
        <v>-2.106617102981545E-10</v>
      </c>
      <c r="AJ25" s="12">
        <f>'24MS_Data'!AJ25-MTOM_Data!AJ25</f>
        <v>0</v>
      </c>
      <c r="AK25" s="11">
        <f>'24MS_Data'!AK25-MTOM_Data!AK25</f>
        <v>2.472025354912148</v>
      </c>
      <c r="AL25" s="11">
        <f>'24MS_Data'!AL25-MTOM_Data!AL25</f>
        <v>4.8897578381001949E-5</v>
      </c>
      <c r="AM25" s="11">
        <f>'24MS_Data'!AM25-MTOM_Data!AM25</f>
        <v>3.4798955296402596</v>
      </c>
      <c r="AN25" s="10">
        <f>'24MS_Data'!AN25-MTOM_Data!AN25</f>
        <v>7.7216100180521607E-10</v>
      </c>
      <c r="AO25" s="11">
        <f>'24MS_Data'!AO25-MTOM_Data!AO25</f>
        <v>4.8007816076278687E-5</v>
      </c>
      <c r="AP25" s="12">
        <f>'24MS_Data'!AP25-MTOM_Data!AP25</f>
        <v>6.3022724816619302E-9</v>
      </c>
      <c r="AQ25" s="11">
        <f>'24MS_Data'!AQ25-MTOM_Data!AQ25</f>
        <v>3.9676706364843994E-11</v>
      </c>
      <c r="AR25" s="11">
        <f>'24MS_Data'!AR25-MTOM_Data!AR25</f>
        <v>4.8889662139117718E-5</v>
      </c>
      <c r="AS25" s="11">
        <f>'24MS_Data'!AS25-MTOM_Data!AS25</f>
        <v>3.3765027183108032E-6</v>
      </c>
      <c r="AT25" s="13">
        <f>'24MS_Data'!AT25-MTOM_Data!AT25</f>
        <v>1.1707015801221132E-8</v>
      </c>
      <c r="AU25" s="11">
        <f>'24MS_Data'!AU25-MTOM_Data!AU25</f>
        <v>-1.0231451597064734E-7</v>
      </c>
      <c r="AV25" s="13">
        <f>'24MS_Data'!AV25-MTOM_Data!AV25</f>
        <v>9.9338649306446314E-8</v>
      </c>
    </row>
    <row r="26" spans="1:48" x14ac:dyDescent="0.25">
      <c r="A26" s="49">
        <f t="shared" si="0"/>
        <v>44804</v>
      </c>
      <c r="B26" s="10">
        <f>'24MS_Data'!B26-MTOM_Data!B26</f>
        <v>0.72713602299882041</v>
      </c>
      <c r="C26" s="11">
        <f>'24MS_Data'!C26-MTOM_Data!C26</f>
        <v>0</v>
      </c>
      <c r="D26" s="11">
        <f>'24MS_Data'!D26-MTOM_Data!D26</f>
        <v>-34.645377909461303</v>
      </c>
      <c r="E26" s="11">
        <f>'24MS_Data'!E26-MTOM_Data!E26</f>
        <v>0</v>
      </c>
      <c r="F26" s="10">
        <f>'24MS_Data'!F26-MTOM_Data!F26</f>
        <v>3.5951642584159345</v>
      </c>
      <c r="G26" s="11">
        <f>'24MS_Data'!G26-MTOM_Data!G26</f>
        <v>-34.645377909553659</v>
      </c>
      <c r="H26" s="11">
        <f>'24MS_Data'!H26-MTOM_Data!H26</f>
        <v>0</v>
      </c>
      <c r="I26" s="11">
        <f>'24MS_Data'!I26-MTOM_Data!I26</f>
        <v>-11.103668438343178</v>
      </c>
      <c r="J26" s="12">
        <f>'24MS_Data'!J26-MTOM_Data!J26</f>
        <v>0</v>
      </c>
      <c r="K26" s="11">
        <f>'24MS_Data'!K26-MTOM_Data!K26</f>
        <v>-20.77819229002489</v>
      </c>
      <c r="L26" s="11">
        <f>'24MS_Data'!L26-MTOM_Data!L26</f>
        <v>0</v>
      </c>
      <c r="M26" s="11">
        <f>'24MS_Data'!M26-MTOM_Data!M26</f>
        <v>-2.2843500000015347</v>
      </c>
      <c r="N26" s="10">
        <f>'24MS_Data'!N26-MTOM_Data!N26</f>
        <v>1.9898023260475384</v>
      </c>
      <c r="O26" s="11">
        <f>'24MS_Data'!O26-MTOM_Data!O26</f>
        <v>-2.2843500001024211</v>
      </c>
      <c r="P26" s="11">
        <f>'24MS_Data'!P26-MTOM_Data!P26</f>
        <v>0</v>
      </c>
      <c r="Q26" s="11">
        <f>'24MS_Data'!Q26-MTOM_Data!Q26</f>
        <v>-35.508163930527232</v>
      </c>
      <c r="R26" s="12">
        <f>'24MS_Data'!R26-MTOM_Data!R26</f>
        <v>0</v>
      </c>
      <c r="S26" s="11">
        <f>'24MS_Data'!S26-MTOM_Data!S26</f>
        <v>-3.4066457021135648</v>
      </c>
      <c r="T26" s="11">
        <f>'24MS_Data'!T26-MTOM_Data!T26</f>
        <v>-577.41343415667075</v>
      </c>
      <c r="U26" s="11">
        <f>'24MS_Data'!U26-MTOM_Data!U26</f>
        <v>0</v>
      </c>
      <c r="V26" s="10">
        <f>'24MS_Data'!V26-MTOM_Data!V26</f>
        <v>-4.7139850861067316</v>
      </c>
      <c r="W26" s="11">
        <f>'24MS_Data'!W26-MTOM_Data!W26</f>
        <v>0</v>
      </c>
      <c r="X26" s="12">
        <f>'24MS_Data'!X26-MTOM_Data!X26</f>
        <v>0.80722763208029136</v>
      </c>
      <c r="Y26" s="11">
        <f>'24MS_Data'!Y26-MTOM_Data!Y26</f>
        <v>7.3120758123177438</v>
      </c>
      <c r="Z26" s="11">
        <f>'24MS_Data'!Z26-MTOM_Data!Z26</f>
        <v>0.80722763217819704</v>
      </c>
      <c r="AA26" s="11">
        <f>'24MS_Data'!AA26-MTOM_Data!AA26</f>
        <v>0</v>
      </c>
      <c r="AB26" s="11">
        <f>'24MS_Data'!AB26-MTOM_Data!AB26</f>
        <v>4.5964651192249555</v>
      </c>
      <c r="AC26" s="11">
        <f>'24MS_Data'!AC26-MTOM_Data!AC26</f>
        <v>0</v>
      </c>
      <c r="AD26" s="10">
        <f>'24MS_Data'!AD26-MTOM_Data!AD26</f>
        <v>-4.1148716676652839</v>
      </c>
      <c r="AE26" s="11">
        <f>'24MS_Data'!AE26-MTOM_Data!AE26</f>
        <v>-387.95790653149015</v>
      </c>
      <c r="AF26" s="11">
        <f>'24MS_Data'!AF26-MTOM_Data!AF26</f>
        <v>-42.010971502401503</v>
      </c>
      <c r="AG26" s="11">
        <f>'24MS_Data'!AG26-MTOM_Data!AG26</f>
        <v>0</v>
      </c>
      <c r="AH26" s="11">
        <f>'24MS_Data'!AH26-MTOM_Data!AH26</f>
        <v>-1.312326088084717</v>
      </c>
      <c r="AI26" s="11">
        <f>'24MS_Data'!AI26-MTOM_Data!AI26</f>
        <v>9.6861185738816857E-11</v>
      </c>
      <c r="AJ26" s="12">
        <f>'24MS_Data'!AJ26-MTOM_Data!AJ26</f>
        <v>0</v>
      </c>
      <c r="AK26" s="11">
        <f>'24MS_Data'!AK26-MTOM_Data!AK26</f>
        <v>2.4674130792302549</v>
      </c>
      <c r="AL26" s="11">
        <f>'24MS_Data'!AL26-MTOM_Data!AL26</f>
        <v>5.7870056480169296E-6</v>
      </c>
      <c r="AM26" s="11">
        <f>'24MS_Data'!AM26-MTOM_Data!AM26</f>
        <v>3.4081762196038881</v>
      </c>
      <c r="AN26" s="10">
        <f>'24MS_Data'!AN26-MTOM_Data!AN26</f>
        <v>9.425775715499185E-10</v>
      </c>
      <c r="AO26" s="11">
        <f>'24MS_Data'!AO26-MTOM_Data!AO26</f>
        <v>4.5833876356482506E-6</v>
      </c>
      <c r="AP26" s="12">
        <f>'24MS_Data'!AP26-MTOM_Data!AP26</f>
        <v>6.6781069563148776E-10</v>
      </c>
      <c r="AQ26" s="11">
        <f>'24MS_Data'!AQ26-MTOM_Data!AQ26</f>
        <v>1.4808847481617704E-9</v>
      </c>
      <c r="AR26" s="11">
        <f>'24MS_Data'!AR26-MTOM_Data!AR26</f>
        <v>5.2914256229996681E-6</v>
      </c>
      <c r="AS26" s="11">
        <f>'24MS_Data'!AS26-MTOM_Data!AS26</f>
        <v>3.3887044992297888E-7</v>
      </c>
      <c r="AT26" s="13">
        <f>'24MS_Data'!AT26-MTOM_Data!AT26</f>
        <v>-2.4738255888223648E-8</v>
      </c>
      <c r="AU26" s="11">
        <f>'24MS_Data'!AU26-MTOM_Data!AU26</f>
        <v>-1.0231451597064734E-7</v>
      </c>
      <c r="AV26" s="13">
        <f>'24MS_Data'!AV26-MTOM_Data!AV26</f>
        <v>9.9338649306446314E-8</v>
      </c>
    </row>
    <row r="27" spans="1:48" x14ac:dyDescent="0.25">
      <c r="A27" s="49">
        <f t="shared" si="0"/>
        <v>44834</v>
      </c>
      <c r="B27" s="10">
        <f>'24MS_Data'!B27-MTOM_Data!B27</f>
        <v>1.8010123346093678</v>
      </c>
      <c r="C27" s="11">
        <f>'24MS_Data'!C27-MTOM_Data!C27</f>
        <v>0</v>
      </c>
      <c r="D27" s="11">
        <f>'24MS_Data'!D27-MTOM_Data!D27</f>
        <v>-7.7651109212517255</v>
      </c>
      <c r="E27" s="11">
        <f>'24MS_Data'!E27-MTOM_Data!E27</f>
        <v>0</v>
      </c>
      <c r="F27" s="10">
        <f>'24MS_Data'!F27-MTOM_Data!F27</f>
        <v>3.4272322457036353</v>
      </c>
      <c r="G27" s="11">
        <f>'24MS_Data'!G27-MTOM_Data!G27</f>
        <v>-7.765110921234978</v>
      </c>
      <c r="H27" s="11">
        <f>'24MS_Data'!H27-MTOM_Data!H27</f>
        <v>0</v>
      </c>
      <c r="I27" s="11">
        <f>'24MS_Data'!I27-MTOM_Data!I27</f>
        <v>-0.43950733557191768</v>
      </c>
      <c r="J27" s="12">
        <f>'24MS_Data'!J27-MTOM_Data!J27</f>
        <v>0</v>
      </c>
      <c r="K27" s="11">
        <f>'24MS_Data'!K27-MTOM_Data!K27</f>
        <v>-20.527439173227322</v>
      </c>
      <c r="L27" s="11">
        <f>'24MS_Data'!L27-MTOM_Data!L27</f>
        <v>0</v>
      </c>
      <c r="M27" s="11">
        <f>'24MS_Data'!M27-MTOM_Data!M27</f>
        <v>-4.4383199999979972</v>
      </c>
      <c r="N27" s="10">
        <f>'24MS_Data'!N27-MTOM_Data!N27</f>
        <v>6.0748888809239361</v>
      </c>
      <c r="O27" s="11">
        <f>'24MS_Data'!O27-MTOM_Data!O27</f>
        <v>-4.4383200000232037</v>
      </c>
      <c r="P27" s="11">
        <f>'24MS_Data'!P27-MTOM_Data!P27</f>
        <v>0</v>
      </c>
      <c r="Q27" s="11">
        <f>'24MS_Data'!Q27-MTOM_Data!Q27</f>
        <v>-38.520767960253878</v>
      </c>
      <c r="R27" s="12">
        <f>'24MS_Data'!R27-MTOM_Data!R27</f>
        <v>0</v>
      </c>
      <c r="S27" s="11">
        <f>'24MS_Data'!S27-MTOM_Data!S27</f>
        <v>-3.4028864534375316</v>
      </c>
      <c r="T27" s="11">
        <f>'24MS_Data'!T27-MTOM_Data!T27</f>
        <v>-647.36741920590589</v>
      </c>
      <c r="U27" s="11">
        <f>'24MS_Data'!U27-MTOM_Data!U27</f>
        <v>-38.568521281727236</v>
      </c>
      <c r="V27" s="10">
        <f>'24MS_Data'!V27-MTOM_Data!V27</f>
        <v>-3.7609915635175639</v>
      </c>
      <c r="W27" s="11">
        <f>'24MS_Data'!W27-MTOM_Data!W27</f>
        <v>0</v>
      </c>
      <c r="X27" s="12">
        <f>'24MS_Data'!X27-MTOM_Data!X27</f>
        <v>-2.8125747482721302</v>
      </c>
      <c r="Y27" s="11">
        <f>'24MS_Data'!Y27-MTOM_Data!Y27</f>
        <v>-0.13690434369527793</v>
      </c>
      <c r="Z27" s="11">
        <f>'24MS_Data'!Z27-MTOM_Data!Z27</f>
        <v>-2.8125747483122296</v>
      </c>
      <c r="AA27" s="11">
        <f>'24MS_Data'!AA27-MTOM_Data!AA27</f>
        <v>0</v>
      </c>
      <c r="AB27" s="11">
        <f>'24MS_Data'!AB27-MTOM_Data!AB27</f>
        <v>98.256262759394218</v>
      </c>
      <c r="AC27" s="11">
        <f>'24MS_Data'!AC27-MTOM_Data!AC27</f>
        <v>0</v>
      </c>
      <c r="AD27" s="10">
        <f>'24MS_Data'!AD27-MTOM_Data!AD27</f>
        <v>-3.5287068349744004</v>
      </c>
      <c r="AE27" s="11">
        <f>'24MS_Data'!AE27-MTOM_Data!AE27</f>
        <v>-331.99616766237341</v>
      </c>
      <c r="AF27" s="11">
        <f>'24MS_Data'!AF27-MTOM_Data!AF27</f>
        <v>59.295718908252979</v>
      </c>
      <c r="AG27" s="11">
        <f>'24MS_Data'!AG27-MTOM_Data!AG27</f>
        <v>0</v>
      </c>
      <c r="AH27" s="11">
        <f>'24MS_Data'!AH27-MTOM_Data!AH27</f>
        <v>-1.1429540070138771</v>
      </c>
      <c r="AI27" s="11">
        <f>'24MS_Data'!AI27-MTOM_Data!AI27</f>
        <v>1.5389787222375162E-9</v>
      </c>
      <c r="AJ27" s="12">
        <f>'24MS_Data'!AJ27-MTOM_Data!AJ27</f>
        <v>0</v>
      </c>
      <c r="AK27" s="11">
        <f>'24MS_Data'!AK27-MTOM_Data!AK27</f>
        <v>2.4813127771001291</v>
      </c>
      <c r="AL27" s="11">
        <f>'24MS_Data'!AL27-MTOM_Data!AL27</f>
        <v>4.0178420022130013E-6</v>
      </c>
      <c r="AM27" s="11">
        <f>'24MS_Data'!AM27-MTOM_Data!AM27</f>
        <v>3.2122771283229667</v>
      </c>
      <c r="AN27" s="10">
        <f>'24MS_Data'!AN27-MTOM_Data!AN27</f>
        <v>-1.2107648217352107E-9</v>
      </c>
      <c r="AO27" s="11">
        <f>'24MS_Data'!AO27-MTOM_Data!AO27</f>
        <v>5.4711708799004555E-6</v>
      </c>
      <c r="AP27" s="12">
        <f>'24MS_Data'!AP27-MTOM_Data!AP27</f>
        <v>6.170495225887862E-10</v>
      </c>
      <c r="AQ27" s="11">
        <f>'24MS_Data'!AQ27-MTOM_Data!AQ27</f>
        <v>1.8644641386345029E-11</v>
      </c>
      <c r="AR27" s="11">
        <f>'24MS_Data'!AR27-MTOM_Data!AR27</f>
        <v>4.1567254811525345E-6</v>
      </c>
      <c r="AS27" s="11">
        <f>'24MS_Data'!AS27-MTOM_Data!AS27</f>
        <v>3.3750256989151239E-7</v>
      </c>
      <c r="AT27" s="13">
        <f>'24MS_Data'!AT27-MTOM_Data!AT27</f>
        <v>3.2956450013443828E-8</v>
      </c>
      <c r="AU27" s="11">
        <f>'24MS_Data'!AU27-MTOM_Data!AU27</f>
        <v>-5.2204995881766081E-8</v>
      </c>
      <c r="AV27" s="13">
        <f>'24MS_Data'!AV27-MTOM_Data!AV27</f>
        <v>8.3149643614888191E-8</v>
      </c>
    </row>
    <row r="28" spans="1:48" x14ac:dyDescent="0.25">
      <c r="A28" s="49">
        <f t="shared" si="0"/>
        <v>44865</v>
      </c>
      <c r="B28" s="10">
        <f>'24MS_Data'!B28-MTOM_Data!B28</f>
        <v>0</v>
      </c>
      <c r="C28" s="11">
        <f>'24MS_Data'!C28-MTOM_Data!C28</f>
        <v>0</v>
      </c>
      <c r="D28" s="11">
        <f>'24MS_Data'!D28-MTOM_Data!D28</f>
        <v>0</v>
      </c>
      <c r="E28" s="11">
        <f>'24MS_Data'!E28-MTOM_Data!E28</f>
        <v>0</v>
      </c>
      <c r="F28" s="10">
        <f>'24MS_Data'!F28-MTOM_Data!F28</f>
        <v>0</v>
      </c>
      <c r="G28" s="11">
        <f>'24MS_Data'!G28-MTOM_Data!G28</f>
        <v>0</v>
      </c>
      <c r="H28" s="11">
        <f>'24MS_Data'!H28-MTOM_Data!H28</f>
        <v>0</v>
      </c>
      <c r="I28" s="11">
        <f>'24MS_Data'!I28-MTOM_Data!I28</f>
        <v>0</v>
      </c>
      <c r="J28" s="12">
        <f>'24MS_Data'!J28-MTOM_Data!J28</f>
        <v>0</v>
      </c>
      <c r="K28" s="11">
        <f>'24MS_Data'!K28-MTOM_Data!K28</f>
        <v>0</v>
      </c>
      <c r="L28" s="11">
        <f>'24MS_Data'!L28-MTOM_Data!L28</f>
        <v>0</v>
      </c>
      <c r="M28" s="11">
        <f>'24MS_Data'!M28-MTOM_Data!M28</f>
        <v>0</v>
      </c>
      <c r="N28" s="10">
        <f>'24MS_Data'!N28-MTOM_Data!N28</f>
        <v>0</v>
      </c>
      <c r="O28" s="11">
        <f>'24MS_Data'!O28-MTOM_Data!O28</f>
        <v>0</v>
      </c>
      <c r="P28" s="11">
        <f>'24MS_Data'!P28-MTOM_Data!P28</f>
        <v>0</v>
      </c>
      <c r="Q28" s="11">
        <f>'24MS_Data'!Q28-MTOM_Data!Q28</f>
        <v>0</v>
      </c>
      <c r="R28" s="12">
        <f>'24MS_Data'!R28-MTOM_Data!R28</f>
        <v>0</v>
      </c>
      <c r="S28" s="11">
        <f>'24MS_Data'!S28-MTOM_Data!S28</f>
        <v>0</v>
      </c>
      <c r="T28" s="11">
        <f>'24MS_Data'!T28-MTOM_Data!T28</f>
        <v>0</v>
      </c>
      <c r="U28" s="11">
        <f>'24MS_Data'!U28-MTOM_Data!U28</f>
        <v>0</v>
      </c>
      <c r="V28" s="10">
        <f>'24MS_Data'!V28-MTOM_Data!V28</f>
        <v>0</v>
      </c>
      <c r="W28" s="11">
        <f>'24MS_Data'!W28-MTOM_Data!W28</f>
        <v>0</v>
      </c>
      <c r="X28" s="12">
        <f>'24MS_Data'!X28-MTOM_Data!X28</f>
        <v>0</v>
      </c>
      <c r="Y28" s="11">
        <f>'24MS_Data'!Y28-MTOM_Data!Y28</f>
        <v>0</v>
      </c>
      <c r="Z28" s="11">
        <f>'24MS_Data'!Z28-MTOM_Data!Z28</f>
        <v>0</v>
      </c>
      <c r="AA28" s="11">
        <f>'24MS_Data'!AA28-MTOM_Data!AA28</f>
        <v>0</v>
      </c>
      <c r="AB28" s="11">
        <f>'24MS_Data'!AB28-MTOM_Data!AB28</f>
        <v>0</v>
      </c>
      <c r="AC28" s="11">
        <f>'24MS_Data'!AC28-MTOM_Data!AC28</f>
        <v>0</v>
      </c>
      <c r="AD28" s="10">
        <f>'24MS_Data'!AD28-MTOM_Data!AD28</f>
        <v>0</v>
      </c>
      <c r="AE28" s="11">
        <f>'24MS_Data'!AE28-MTOM_Data!AE28</f>
        <v>0</v>
      </c>
      <c r="AF28" s="11">
        <f>'24MS_Data'!AF28-MTOM_Data!AF28</f>
        <v>0</v>
      </c>
      <c r="AG28" s="11">
        <f>'24MS_Data'!AG28-MTOM_Data!AG28</f>
        <v>0</v>
      </c>
      <c r="AH28" s="11">
        <f>'24MS_Data'!AH28-MTOM_Data!AH28</f>
        <v>0</v>
      </c>
      <c r="AI28" s="11">
        <f>'24MS_Data'!AI28-MTOM_Data!AI28</f>
        <v>0</v>
      </c>
      <c r="AJ28" s="12">
        <f>'24MS_Data'!AJ28-MTOM_Data!AJ28</f>
        <v>0</v>
      </c>
      <c r="AK28" s="11">
        <f>'24MS_Data'!AK28-MTOM_Data!AK28</f>
        <v>0</v>
      </c>
      <c r="AL28" s="11">
        <f>'24MS_Data'!AL28-MTOM_Data!AL28</f>
        <v>0</v>
      </c>
      <c r="AM28" s="11">
        <f>'24MS_Data'!AM28-MTOM_Data!AM28</f>
        <v>0</v>
      </c>
      <c r="AN28" s="10">
        <f>'24MS_Data'!AN28-MTOM_Data!AN28</f>
        <v>0</v>
      </c>
      <c r="AO28" s="11">
        <f>'24MS_Data'!AO28-MTOM_Data!AO28</f>
        <v>0</v>
      </c>
      <c r="AP28" s="12">
        <f>'24MS_Data'!AP28-MTOM_Data!AP28</f>
        <v>0</v>
      </c>
      <c r="AQ28" s="11">
        <f>'24MS_Data'!AQ28-MTOM_Data!AQ28</f>
        <v>0</v>
      </c>
      <c r="AR28" s="11">
        <f>'24MS_Data'!AR28-MTOM_Data!AR28</f>
        <v>0</v>
      </c>
      <c r="AS28" s="11">
        <f>'24MS_Data'!AS28-MTOM_Data!AS28</f>
        <v>0</v>
      </c>
      <c r="AT28" s="13">
        <f>'24MS_Data'!AT28-MTOM_Data!AT28</f>
        <v>0</v>
      </c>
      <c r="AU28" s="11">
        <f>'24MS_Data'!AU28-MTOM_Data!AU28</f>
        <v>0</v>
      </c>
      <c r="AV28" s="13">
        <f>'24MS_Data'!AV28-MTOM_Data!AV28</f>
        <v>0</v>
      </c>
    </row>
    <row r="29" spans="1:48" x14ac:dyDescent="0.25">
      <c r="A29" s="49">
        <f t="shared" si="0"/>
        <v>44895</v>
      </c>
      <c r="B29" s="10">
        <f>'24MS_Data'!B29-MTOM_Data!B29</f>
        <v>0</v>
      </c>
      <c r="C29" s="11">
        <f>'24MS_Data'!C29-MTOM_Data!C29</f>
        <v>0</v>
      </c>
      <c r="D29" s="11">
        <f>'24MS_Data'!D29-MTOM_Data!D29</f>
        <v>0</v>
      </c>
      <c r="E29" s="11">
        <f>'24MS_Data'!E29-MTOM_Data!E29</f>
        <v>0</v>
      </c>
      <c r="F29" s="10">
        <f>'24MS_Data'!F29-MTOM_Data!F29</f>
        <v>0</v>
      </c>
      <c r="G29" s="11">
        <f>'24MS_Data'!G29-MTOM_Data!G29</f>
        <v>0</v>
      </c>
      <c r="H29" s="11">
        <f>'24MS_Data'!H29-MTOM_Data!H29</f>
        <v>0</v>
      </c>
      <c r="I29" s="11">
        <f>'24MS_Data'!I29-MTOM_Data!I29</f>
        <v>0</v>
      </c>
      <c r="J29" s="12">
        <f>'24MS_Data'!J29-MTOM_Data!J29</f>
        <v>0</v>
      </c>
      <c r="K29" s="11">
        <f>'24MS_Data'!K29-MTOM_Data!K29</f>
        <v>0</v>
      </c>
      <c r="L29" s="11">
        <f>'24MS_Data'!L29-MTOM_Data!L29</f>
        <v>0</v>
      </c>
      <c r="M29" s="11">
        <f>'24MS_Data'!M29-MTOM_Data!M29</f>
        <v>0</v>
      </c>
      <c r="N29" s="10">
        <f>'24MS_Data'!N29-MTOM_Data!N29</f>
        <v>0</v>
      </c>
      <c r="O29" s="11">
        <f>'24MS_Data'!O29-MTOM_Data!O29</f>
        <v>0</v>
      </c>
      <c r="P29" s="11">
        <f>'24MS_Data'!P29-MTOM_Data!P29</f>
        <v>0</v>
      </c>
      <c r="Q29" s="11">
        <f>'24MS_Data'!Q29-MTOM_Data!Q29</f>
        <v>0</v>
      </c>
      <c r="R29" s="12">
        <f>'24MS_Data'!R29-MTOM_Data!R29</f>
        <v>0</v>
      </c>
      <c r="S29" s="11">
        <f>'24MS_Data'!S29-MTOM_Data!S29</f>
        <v>0</v>
      </c>
      <c r="T29" s="11">
        <f>'24MS_Data'!T29-MTOM_Data!T29</f>
        <v>0</v>
      </c>
      <c r="U29" s="11">
        <f>'24MS_Data'!U29-MTOM_Data!U29</f>
        <v>0</v>
      </c>
      <c r="V29" s="10">
        <f>'24MS_Data'!V29-MTOM_Data!V29</f>
        <v>0</v>
      </c>
      <c r="W29" s="11">
        <f>'24MS_Data'!W29-MTOM_Data!W29</f>
        <v>0</v>
      </c>
      <c r="X29" s="12">
        <f>'24MS_Data'!X29-MTOM_Data!X29</f>
        <v>0</v>
      </c>
      <c r="Y29" s="11">
        <f>'24MS_Data'!Y29-MTOM_Data!Y29</f>
        <v>0</v>
      </c>
      <c r="Z29" s="11">
        <f>'24MS_Data'!Z29-MTOM_Data!Z29</f>
        <v>0</v>
      </c>
      <c r="AA29" s="11">
        <f>'24MS_Data'!AA29-MTOM_Data!AA29</f>
        <v>0</v>
      </c>
      <c r="AB29" s="11">
        <f>'24MS_Data'!AB29-MTOM_Data!AB29</f>
        <v>0</v>
      </c>
      <c r="AC29" s="11">
        <f>'24MS_Data'!AC29-MTOM_Data!AC29</f>
        <v>0</v>
      </c>
      <c r="AD29" s="10">
        <f>'24MS_Data'!AD29-MTOM_Data!AD29</f>
        <v>0</v>
      </c>
      <c r="AE29" s="11">
        <f>'24MS_Data'!AE29-MTOM_Data!AE29</f>
        <v>0</v>
      </c>
      <c r="AF29" s="11">
        <f>'24MS_Data'!AF29-MTOM_Data!AF29</f>
        <v>0</v>
      </c>
      <c r="AG29" s="11">
        <f>'24MS_Data'!AG29-MTOM_Data!AG29</f>
        <v>0</v>
      </c>
      <c r="AH29" s="11">
        <f>'24MS_Data'!AH29-MTOM_Data!AH29</f>
        <v>0</v>
      </c>
      <c r="AI29" s="11">
        <f>'24MS_Data'!AI29-MTOM_Data!AI29</f>
        <v>0</v>
      </c>
      <c r="AJ29" s="12">
        <f>'24MS_Data'!AJ29-MTOM_Data!AJ29</f>
        <v>0</v>
      </c>
      <c r="AK29" s="11">
        <f>'24MS_Data'!AK29-MTOM_Data!AK29</f>
        <v>0</v>
      </c>
      <c r="AL29" s="11">
        <f>'24MS_Data'!AL29-MTOM_Data!AL29</f>
        <v>0</v>
      </c>
      <c r="AM29" s="11">
        <f>'24MS_Data'!AM29-MTOM_Data!AM29</f>
        <v>0</v>
      </c>
      <c r="AN29" s="10">
        <f>'24MS_Data'!AN29-MTOM_Data!AN29</f>
        <v>0</v>
      </c>
      <c r="AO29" s="11">
        <f>'24MS_Data'!AO29-MTOM_Data!AO29</f>
        <v>0</v>
      </c>
      <c r="AP29" s="12">
        <f>'24MS_Data'!AP29-MTOM_Data!AP29</f>
        <v>0</v>
      </c>
      <c r="AQ29" s="11">
        <f>'24MS_Data'!AQ29-MTOM_Data!AQ29</f>
        <v>0</v>
      </c>
      <c r="AR29" s="11">
        <f>'24MS_Data'!AR29-MTOM_Data!AR29</f>
        <v>0</v>
      </c>
      <c r="AS29" s="11">
        <f>'24MS_Data'!AS29-MTOM_Data!AS29</f>
        <v>0</v>
      </c>
      <c r="AT29" s="13">
        <f>'24MS_Data'!AT29-MTOM_Data!AT29</f>
        <v>0</v>
      </c>
      <c r="AU29" s="11">
        <f>'24MS_Data'!AU29-MTOM_Data!AU29</f>
        <v>0</v>
      </c>
      <c r="AV29" s="13">
        <f>'24MS_Data'!AV29-MTOM_Data!AV29</f>
        <v>0</v>
      </c>
    </row>
    <row r="30" spans="1:48" x14ac:dyDescent="0.25">
      <c r="A30" s="49">
        <f t="shared" si="0"/>
        <v>44926</v>
      </c>
      <c r="B30" s="10">
        <f>'24MS_Data'!B30-MTOM_Data!B30</f>
        <v>0</v>
      </c>
      <c r="C30" s="11">
        <f>'24MS_Data'!C30-MTOM_Data!C30</f>
        <v>0</v>
      </c>
      <c r="D30" s="11">
        <f>'24MS_Data'!D30-MTOM_Data!D30</f>
        <v>0</v>
      </c>
      <c r="E30" s="11">
        <f>'24MS_Data'!E30-MTOM_Data!E30</f>
        <v>0</v>
      </c>
      <c r="F30" s="10">
        <f>'24MS_Data'!F30-MTOM_Data!F30</f>
        <v>0</v>
      </c>
      <c r="G30" s="11">
        <f>'24MS_Data'!G30-MTOM_Data!G30</f>
        <v>0</v>
      </c>
      <c r="H30" s="11">
        <f>'24MS_Data'!H30-MTOM_Data!H30</f>
        <v>0</v>
      </c>
      <c r="I30" s="11">
        <f>'24MS_Data'!I30-MTOM_Data!I30</f>
        <v>0</v>
      </c>
      <c r="J30" s="12">
        <f>'24MS_Data'!J30-MTOM_Data!J30</f>
        <v>0</v>
      </c>
      <c r="K30" s="11">
        <f>'24MS_Data'!K30-MTOM_Data!K30</f>
        <v>0</v>
      </c>
      <c r="L30" s="11">
        <f>'24MS_Data'!L30-MTOM_Data!L30</f>
        <v>0</v>
      </c>
      <c r="M30" s="11">
        <f>'24MS_Data'!M30-MTOM_Data!M30</f>
        <v>0</v>
      </c>
      <c r="N30" s="10">
        <f>'24MS_Data'!N30-MTOM_Data!N30</f>
        <v>0</v>
      </c>
      <c r="O30" s="11">
        <f>'24MS_Data'!O30-MTOM_Data!O30</f>
        <v>0</v>
      </c>
      <c r="P30" s="11">
        <f>'24MS_Data'!P30-MTOM_Data!P30</f>
        <v>0</v>
      </c>
      <c r="Q30" s="11">
        <f>'24MS_Data'!Q30-MTOM_Data!Q30</f>
        <v>0</v>
      </c>
      <c r="R30" s="12">
        <f>'24MS_Data'!R30-MTOM_Data!R30</f>
        <v>0</v>
      </c>
      <c r="S30" s="11">
        <f>'24MS_Data'!S30-MTOM_Data!S30</f>
        <v>0</v>
      </c>
      <c r="T30" s="11">
        <f>'24MS_Data'!T30-MTOM_Data!T30</f>
        <v>0</v>
      </c>
      <c r="U30" s="11">
        <f>'24MS_Data'!U30-MTOM_Data!U30</f>
        <v>0</v>
      </c>
      <c r="V30" s="10">
        <f>'24MS_Data'!V30-MTOM_Data!V30</f>
        <v>0</v>
      </c>
      <c r="W30" s="11">
        <f>'24MS_Data'!W30-MTOM_Data!W30</f>
        <v>0</v>
      </c>
      <c r="X30" s="12">
        <f>'24MS_Data'!X30-MTOM_Data!X30</f>
        <v>0</v>
      </c>
      <c r="Y30" s="11">
        <f>'24MS_Data'!Y30-MTOM_Data!Y30</f>
        <v>0</v>
      </c>
      <c r="Z30" s="11">
        <f>'24MS_Data'!Z30-MTOM_Data!Z30</f>
        <v>0</v>
      </c>
      <c r="AA30" s="11">
        <f>'24MS_Data'!AA30-MTOM_Data!AA30</f>
        <v>0</v>
      </c>
      <c r="AB30" s="11">
        <f>'24MS_Data'!AB30-MTOM_Data!AB30</f>
        <v>0</v>
      </c>
      <c r="AC30" s="11">
        <f>'24MS_Data'!AC30-MTOM_Data!AC30</f>
        <v>0</v>
      </c>
      <c r="AD30" s="10">
        <f>'24MS_Data'!AD30-MTOM_Data!AD30</f>
        <v>0</v>
      </c>
      <c r="AE30" s="11">
        <f>'24MS_Data'!AE30-MTOM_Data!AE30</f>
        <v>0</v>
      </c>
      <c r="AF30" s="11">
        <f>'24MS_Data'!AF30-MTOM_Data!AF30</f>
        <v>0</v>
      </c>
      <c r="AG30" s="11">
        <f>'24MS_Data'!AG30-MTOM_Data!AG30</f>
        <v>0</v>
      </c>
      <c r="AH30" s="11">
        <f>'24MS_Data'!AH30-MTOM_Data!AH30</f>
        <v>0</v>
      </c>
      <c r="AI30" s="11">
        <f>'24MS_Data'!AI30-MTOM_Data!AI30</f>
        <v>0</v>
      </c>
      <c r="AJ30" s="12">
        <f>'24MS_Data'!AJ30-MTOM_Data!AJ30</f>
        <v>0</v>
      </c>
      <c r="AK30" s="11">
        <f>'24MS_Data'!AK30-MTOM_Data!AK30</f>
        <v>0</v>
      </c>
      <c r="AL30" s="11">
        <f>'24MS_Data'!AL30-MTOM_Data!AL30</f>
        <v>0</v>
      </c>
      <c r="AM30" s="11">
        <f>'24MS_Data'!AM30-MTOM_Data!AM30</f>
        <v>0</v>
      </c>
      <c r="AN30" s="10">
        <f>'24MS_Data'!AN30-MTOM_Data!AN30</f>
        <v>0</v>
      </c>
      <c r="AO30" s="11">
        <f>'24MS_Data'!AO30-MTOM_Data!AO30</f>
        <v>0</v>
      </c>
      <c r="AP30" s="12">
        <f>'24MS_Data'!AP30-MTOM_Data!AP30</f>
        <v>0</v>
      </c>
      <c r="AQ30" s="11">
        <f>'24MS_Data'!AQ30-MTOM_Data!AQ30</f>
        <v>0</v>
      </c>
      <c r="AR30" s="11">
        <f>'24MS_Data'!AR30-MTOM_Data!AR30</f>
        <v>0</v>
      </c>
      <c r="AS30" s="11">
        <f>'24MS_Data'!AS30-MTOM_Data!AS30</f>
        <v>0</v>
      </c>
      <c r="AT30" s="13">
        <f>'24MS_Data'!AT30-MTOM_Data!AT30</f>
        <v>0</v>
      </c>
      <c r="AU30" s="11">
        <f>'24MS_Data'!AU30-MTOM_Data!AU30</f>
        <v>0</v>
      </c>
      <c r="AV30" s="13">
        <f>'24MS_Data'!AV30-MTOM_Data!AV30</f>
        <v>0</v>
      </c>
    </row>
    <row r="31" spans="1:48" x14ac:dyDescent="0.25">
      <c r="A31" s="49">
        <f t="shared" si="0"/>
        <v>44957</v>
      </c>
      <c r="B31" s="10">
        <f>'24MS_Data'!B31-MTOM_Data!B31</f>
        <v>0</v>
      </c>
      <c r="C31" s="11">
        <f>'24MS_Data'!C31-MTOM_Data!C31</f>
        <v>0</v>
      </c>
      <c r="D31" s="11">
        <f>'24MS_Data'!D31-MTOM_Data!D31</f>
        <v>0</v>
      </c>
      <c r="E31" s="11">
        <f>'24MS_Data'!E31-MTOM_Data!E31</f>
        <v>0</v>
      </c>
      <c r="F31" s="10">
        <f>'24MS_Data'!F31-MTOM_Data!F31</f>
        <v>0</v>
      </c>
      <c r="G31" s="11">
        <f>'24MS_Data'!G31-MTOM_Data!G31</f>
        <v>0</v>
      </c>
      <c r="H31" s="11">
        <f>'24MS_Data'!H31-MTOM_Data!H31</f>
        <v>0</v>
      </c>
      <c r="I31" s="11">
        <f>'24MS_Data'!I31-MTOM_Data!I31</f>
        <v>0</v>
      </c>
      <c r="J31" s="12">
        <f>'24MS_Data'!J31-MTOM_Data!J31</f>
        <v>0</v>
      </c>
      <c r="K31" s="11">
        <f>'24MS_Data'!K31-MTOM_Data!K31</f>
        <v>0</v>
      </c>
      <c r="L31" s="11">
        <f>'24MS_Data'!L31-MTOM_Data!L31</f>
        <v>0</v>
      </c>
      <c r="M31" s="11">
        <f>'24MS_Data'!M31-MTOM_Data!M31</f>
        <v>0</v>
      </c>
      <c r="N31" s="10">
        <f>'24MS_Data'!N31-MTOM_Data!N31</f>
        <v>0</v>
      </c>
      <c r="O31" s="11">
        <f>'24MS_Data'!O31-MTOM_Data!O31</f>
        <v>0</v>
      </c>
      <c r="P31" s="11">
        <f>'24MS_Data'!P31-MTOM_Data!P31</f>
        <v>0</v>
      </c>
      <c r="Q31" s="11">
        <f>'24MS_Data'!Q31-MTOM_Data!Q31</f>
        <v>0</v>
      </c>
      <c r="R31" s="12">
        <f>'24MS_Data'!R31-MTOM_Data!R31</f>
        <v>0</v>
      </c>
      <c r="S31" s="11">
        <f>'24MS_Data'!S31-MTOM_Data!S31</f>
        <v>0</v>
      </c>
      <c r="T31" s="11">
        <f>'24MS_Data'!T31-MTOM_Data!T31</f>
        <v>0</v>
      </c>
      <c r="U31" s="11">
        <f>'24MS_Data'!U31-MTOM_Data!U31</f>
        <v>0</v>
      </c>
      <c r="V31" s="10">
        <f>'24MS_Data'!V31-MTOM_Data!V31</f>
        <v>0</v>
      </c>
      <c r="W31" s="11">
        <f>'24MS_Data'!W31-MTOM_Data!W31</f>
        <v>0</v>
      </c>
      <c r="X31" s="12">
        <f>'24MS_Data'!X31-MTOM_Data!X31</f>
        <v>0</v>
      </c>
      <c r="Y31" s="11">
        <f>'24MS_Data'!Y31-MTOM_Data!Y31</f>
        <v>0</v>
      </c>
      <c r="Z31" s="11">
        <f>'24MS_Data'!Z31-MTOM_Data!Z31</f>
        <v>0</v>
      </c>
      <c r="AA31" s="11">
        <f>'24MS_Data'!AA31-MTOM_Data!AA31</f>
        <v>0</v>
      </c>
      <c r="AB31" s="11">
        <f>'24MS_Data'!AB31-MTOM_Data!AB31</f>
        <v>0</v>
      </c>
      <c r="AC31" s="11">
        <f>'24MS_Data'!AC31-MTOM_Data!AC31</f>
        <v>0</v>
      </c>
      <c r="AD31" s="10">
        <f>'24MS_Data'!AD31-MTOM_Data!AD31</f>
        <v>0</v>
      </c>
      <c r="AE31" s="11">
        <f>'24MS_Data'!AE31-MTOM_Data!AE31</f>
        <v>0</v>
      </c>
      <c r="AF31" s="11">
        <f>'24MS_Data'!AF31-MTOM_Data!AF31</f>
        <v>0</v>
      </c>
      <c r="AG31" s="11">
        <f>'24MS_Data'!AG31-MTOM_Data!AG31</f>
        <v>0</v>
      </c>
      <c r="AH31" s="11">
        <f>'24MS_Data'!AH31-MTOM_Data!AH31</f>
        <v>0</v>
      </c>
      <c r="AI31" s="11">
        <f>'24MS_Data'!AI31-MTOM_Data!AI31</f>
        <v>0</v>
      </c>
      <c r="AJ31" s="12">
        <f>'24MS_Data'!AJ31-MTOM_Data!AJ31</f>
        <v>0</v>
      </c>
      <c r="AK31" s="11">
        <f>'24MS_Data'!AK31-MTOM_Data!AK31</f>
        <v>0</v>
      </c>
      <c r="AL31" s="11">
        <f>'24MS_Data'!AL31-MTOM_Data!AL31</f>
        <v>0</v>
      </c>
      <c r="AM31" s="11">
        <f>'24MS_Data'!AM31-MTOM_Data!AM31</f>
        <v>0</v>
      </c>
      <c r="AN31" s="10">
        <f>'24MS_Data'!AN31-MTOM_Data!AN31</f>
        <v>0</v>
      </c>
      <c r="AO31" s="11">
        <f>'24MS_Data'!AO31-MTOM_Data!AO31</f>
        <v>0</v>
      </c>
      <c r="AP31" s="12">
        <f>'24MS_Data'!AP31-MTOM_Data!AP31</f>
        <v>0</v>
      </c>
      <c r="AQ31" s="11">
        <f>'24MS_Data'!AQ31-MTOM_Data!AQ31</f>
        <v>0</v>
      </c>
      <c r="AR31" s="11">
        <f>'24MS_Data'!AR31-MTOM_Data!AR31</f>
        <v>0</v>
      </c>
      <c r="AS31" s="11">
        <f>'24MS_Data'!AS31-MTOM_Data!AS31</f>
        <v>0</v>
      </c>
      <c r="AT31" s="13">
        <f>'24MS_Data'!AT31-MTOM_Data!AT31</f>
        <v>0</v>
      </c>
      <c r="AU31" s="11">
        <f>'24MS_Data'!AU31-MTOM_Data!AU31</f>
        <v>0</v>
      </c>
      <c r="AV31" s="13">
        <f>'24MS_Data'!AV31-MTOM_Data!AV31</f>
        <v>0</v>
      </c>
    </row>
    <row r="32" spans="1:48" x14ac:dyDescent="0.25">
      <c r="A32" s="49">
        <f t="shared" si="0"/>
        <v>44985</v>
      </c>
      <c r="B32" s="10">
        <f>'24MS_Data'!B32-MTOM_Data!B32</f>
        <v>0</v>
      </c>
      <c r="C32" s="11">
        <f>'24MS_Data'!C32-MTOM_Data!C32</f>
        <v>0</v>
      </c>
      <c r="D32" s="11">
        <f>'24MS_Data'!D32-MTOM_Data!D32</f>
        <v>0</v>
      </c>
      <c r="E32" s="11">
        <f>'24MS_Data'!E32-MTOM_Data!E32</f>
        <v>0</v>
      </c>
      <c r="F32" s="10">
        <f>'24MS_Data'!F32-MTOM_Data!F32</f>
        <v>0</v>
      </c>
      <c r="G32" s="11">
        <f>'24MS_Data'!G32-MTOM_Data!G32</f>
        <v>0</v>
      </c>
      <c r="H32" s="11">
        <f>'24MS_Data'!H32-MTOM_Data!H32</f>
        <v>0</v>
      </c>
      <c r="I32" s="11">
        <f>'24MS_Data'!I32-MTOM_Data!I32</f>
        <v>0</v>
      </c>
      <c r="J32" s="12">
        <f>'24MS_Data'!J32-MTOM_Data!J32</f>
        <v>0</v>
      </c>
      <c r="K32" s="11">
        <f>'24MS_Data'!K32-MTOM_Data!K32</f>
        <v>0</v>
      </c>
      <c r="L32" s="11">
        <f>'24MS_Data'!L32-MTOM_Data!L32</f>
        <v>0</v>
      </c>
      <c r="M32" s="11">
        <f>'24MS_Data'!M32-MTOM_Data!M32</f>
        <v>0</v>
      </c>
      <c r="N32" s="10">
        <f>'24MS_Data'!N32-MTOM_Data!N32</f>
        <v>0</v>
      </c>
      <c r="O32" s="11">
        <f>'24MS_Data'!O32-MTOM_Data!O32</f>
        <v>0</v>
      </c>
      <c r="P32" s="11">
        <f>'24MS_Data'!P32-MTOM_Data!P32</f>
        <v>0</v>
      </c>
      <c r="Q32" s="11">
        <f>'24MS_Data'!Q32-MTOM_Data!Q32</f>
        <v>0</v>
      </c>
      <c r="R32" s="12">
        <f>'24MS_Data'!R32-MTOM_Data!R32</f>
        <v>0</v>
      </c>
      <c r="S32" s="11">
        <f>'24MS_Data'!S32-MTOM_Data!S32</f>
        <v>0</v>
      </c>
      <c r="T32" s="11">
        <f>'24MS_Data'!T32-MTOM_Data!T32</f>
        <v>0</v>
      </c>
      <c r="U32" s="11">
        <f>'24MS_Data'!U32-MTOM_Data!U32</f>
        <v>0</v>
      </c>
      <c r="V32" s="10">
        <f>'24MS_Data'!V32-MTOM_Data!V32</f>
        <v>0</v>
      </c>
      <c r="W32" s="11">
        <f>'24MS_Data'!W32-MTOM_Data!W32</f>
        <v>0</v>
      </c>
      <c r="X32" s="12">
        <f>'24MS_Data'!X32-MTOM_Data!X32</f>
        <v>0</v>
      </c>
      <c r="Y32" s="11">
        <f>'24MS_Data'!Y32-MTOM_Data!Y32</f>
        <v>0</v>
      </c>
      <c r="Z32" s="11">
        <f>'24MS_Data'!Z32-MTOM_Data!Z32</f>
        <v>0</v>
      </c>
      <c r="AA32" s="11">
        <f>'24MS_Data'!AA32-MTOM_Data!AA32</f>
        <v>0</v>
      </c>
      <c r="AB32" s="11">
        <f>'24MS_Data'!AB32-MTOM_Data!AB32</f>
        <v>0</v>
      </c>
      <c r="AC32" s="11">
        <f>'24MS_Data'!AC32-MTOM_Data!AC32</f>
        <v>0</v>
      </c>
      <c r="AD32" s="10">
        <f>'24MS_Data'!AD32-MTOM_Data!AD32</f>
        <v>0</v>
      </c>
      <c r="AE32" s="11">
        <f>'24MS_Data'!AE32-MTOM_Data!AE32</f>
        <v>0</v>
      </c>
      <c r="AF32" s="11">
        <f>'24MS_Data'!AF32-MTOM_Data!AF32</f>
        <v>0</v>
      </c>
      <c r="AG32" s="11">
        <f>'24MS_Data'!AG32-MTOM_Data!AG32</f>
        <v>0</v>
      </c>
      <c r="AH32" s="11">
        <f>'24MS_Data'!AH32-MTOM_Data!AH32</f>
        <v>0</v>
      </c>
      <c r="AI32" s="11">
        <f>'24MS_Data'!AI32-MTOM_Data!AI32</f>
        <v>0</v>
      </c>
      <c r="AJ32" s="12">
        <f>'24MS_Data'!AJ32-MTOM_Data!AJ32</f>
        <v>0</v>
      </c>
      <c r="AK32" s="11">
        <f>'24MS_Data'!AK32-MTOM_Data!AK32</f>
        <v>0</v>
      </c>
      <c r="AL32" s="11">
        <f>'24MS_Data'!AL32-MTOM_Data!AL32</f>
        <v>0</v>
      </c>
      <c r="AM32" s="11">
        <f>'24MS_Data'!AM32-MTOM_Data!AM32</f>
        <v>0</v>
      </c>
      <c r="AN32" s="10">
        <f>'24MS_Data'!AN32-MTOM_Data!AN32</f>
        <v>0</v>
      </c>
      <c r="AO32" s="11">
        <f>'24MS_Data'!AO32-MTOM_Data!AO32</f>
        <v>0</v>
      </c>
      <c r="AP32" s="12">
        <f>'24MS_Data'!AP32-MTOM_Data!AP32</f>
        <v>0</v>
      </c>
      <c r="AQ32" s="11">
        <f>'24MS_Data'!AQ32-MTOM_Data!AQ32</f>
        <v>0</v>
      </c>
      <c r="AR32" s="11">
        <f>'24MS_Data'!AR32-MTOM_Data!AR32</f>
        <v>0</v>
      </c>
      <c r="AS32" s="11">
        <f>'24MS_Data'!AS32-MTOM_Data!AS32</f>
        <v>0</v>
      </c>
      <c r="AT32" s="13">
        <f>'24MS_Data'!AT32-MTOM_Data!AT32</f>
        <v>0</v>
      </c>
      <c r="AU32" s="11">
        <f>'24MS_Data'!AU32-MTOM_Data!AU32</f>
        <v>0</v>
      </c>
      <c r="AV32" s="13">
        <f>'24MS_Data'!AV32-MTOM_Data!AV32</f>
        <v>0</v>
      </c>
    </row>
    <row r="33" spans="1:48" x14ac:dyDescent="0.25">
      <c r="A33" s="49">
        <f t="shared" si="0"/>
        <v>45016</v>
      </c>
      <c r="B33" s="10">
        <f>'24MS_Data'!B33-MTOM_Data!B33</f>
        <v>0</v>
      </c>
      <c r="C33" s="11">
        <f>'24MS_Data'!C33-MTOM_Data!C33</f>
        <v>0</v>
      </c>
      <c r="D33" s="11">
        <f>'24MS_Data'!D33-MTOM_Data!D33</f>
        <v>0</v>
      </c>
      <c r="E33" s="11">
        <f>'24MS_Data'!E33-MTOM_Data!E33</f>
        <v>0</v>
      </c>
      <c r="F33" s="10">
        <f>'24MS_Data'!F33-MTOM_Data!F33</f>
        <v>0</v>
      </c>
      <c r="G33" s="11">
        <f>'24MS_Data'!G33-MTOM_Data!G33</f>
        <v>0</v>
      </c>
      <c r="H33" s="11">
        <f>'24MS_Data'!H33-MTOM_Data!H33</f>
        <v>0</v>
      </c>
      <c r="I33" s="11">
        <f>'24MS_Data'!I33-MTOM_Data!I33</f>
        <v>0</v>
      </c>
      <c r="J33" s="12">
        <f>'24MS_Data'!J33-MTOM_Data!J33</f>
        <v>0</v>
      </c>
      <c r="K33" s="11">
        <f>'24MS_Data'!K33-MTOM_Data!K33</f>
        <v>0</v>
      </c>
      <c r="L33" s="11">
        <f>'24MS_Data'!L33-MTOM_Data!L33</f>
        <v>0</v>
      </c>
      <c r="M33" s="11">
        <f>'24MS_Data'!M33-MTOM_Data!M33</f>
        <v>0</v>
      </c>
      <c r="N33" s="10">
        <f>'24MS_Data'!N33-MTOM_Data!N33</f>
        <v>0</v>
      </c>
      <c r="O33" s="11">
        <f>'24MS_Data'!O33-MTOM_Data!O33</f>
        <v>0</v>
      </c>
      <c r="P33" s="11">
        <f>'24MS_Data'!P33-MTOM_Data!P33</f>
        <v>0</v>
      </c>
      <c r="Q33" s="11">
        <f>'24MS_Data'!Q33-MTOM_Data!Q33</f>
        <v>0</v>
      </c>
      <c r="R33" s="12">
        <f>'24MS_Data'!R33-MTOM_Data!R33</f>
        <v>0</v>
      </c>
      <c r="S33" s="11">
        <f>'24MS_Data'!S33-MTOM_Data!S33</f>
        <v>0</v>
      </c>
      <c r="T33" s="11">
        <f>'24MS_Data'!T33-MTOM_Data!T33</f>
        <v>0</v>
      </c>
      <c r="U33" s="11">
        <f>'24MS_Data'!U33-MTOM_Data!U33</f>
        <v>0</v>
      </c>
      <c r="V33" s="10">
        <f>'24MS_Data'!V33-MTOM_Data!V33</f>
        <v>0</v>
      </c>
      <c r="W33" s="11">
        <f>'24MS_Data'!W33-MTOM_Data!W33</f>
        <v>0</v>
      </c>
      <c r="X33" s="12">
        <f>'24MS_Data'!X33-MTOM_Data!X33</f>
        <v>0</v>
      </c>
      <c r="Y33" s="11">
        <f>'24MS_Data'!Y33-MTOM_Data!Y33</f>
        <v>0</v>
      </c>
      <c r="Z33" s="11">
        <f>'24MS_Data'!Z33-MTOM_Data!Z33</f>
        <v>0</v>
      </c>
      <c r="AA33" s="11">
        <f>'24MS_Data'!AA33-MTOM_Data!AA33</f>
        <v>0</v>
      </c>
      <c r="AB33" s="11">
        <f>'24MS_Data'!AB33-MTOM_Data!AB33</f>
        <v>0</v>
      </c>
      <c r="AC33" s="11">
        <f>'24MS_Data'!AC33-MTOM_Data!AC33</f>
        <v>0</v>
      </c>
      <c r="AD33" s="10">
        <f>'24MS_Data'!AD33-MTOM_Data!AD33</f>
        <v>0</v>
      </c>
      <c r="AE33" s="11">
        <f>'24MS_Data'!AE33-MTOM_Data!AE33</f>
        <v>0</v>
      </c>
      <c r="AF33" s="11">
        <f>'24MS_Data'!AF33-MTOM_Data!AF33</f>
        <v>0</v>
      </c>
      <c r="AG33" s="11">
        <f>'24MS_Data'!AG33-MTOM_Data!AG33</f>
        <v>0</v>
      </c>
      <c r="AH33" s="11">
        <f>'24MS_Data'!AH33-MTOM_Data!AH33</f>
        <v>0</v>
      </c>
      <c r="AI33" s="11">
        <f>'24MS_Data'!AI33-MTOM_Data!AI33</f>
        <v>0</v>
      </c>
      <c r="AJ33" s="12">
        <f>'24MS_Data'!AJ33-MTOM_Data!AJ33</f>
        <v>0</v>
      </c>
      <c r="AK33" s="11">
        <f>'24MS_Data'!AK33-MTOM_Data!AK33</f>
        <v>0</v>
      </c>
      <c r="AL33" s="11">
        <f>'24MS_Data'!AL33-MTOM_Data!AL33</f>
        <v>0</v>
      </c>
      <c r="AM33" s="11">
        <f>'24MS_Data'!AM33-MTOM_Data!AM33</f>
        <v>0</v>
      </c>
      <c r="AN33" s="10">
        <f>'24MS_Data'!AN33-MTOM_Data!AN33</f>
        <v>0</v>
      </c>
      <c r="AO33" s="11">
        <f>'24MS_Data'!AO33-MTOM_Data!AO33</f>
        <v>0</v>
      </c>
      <c r="AP33" s="12">
        <f>'24MS_Data'!AP33-MTOM_Data!AP33</f>
        <v>0</v>
      </c>
      <c r="AQ33" s="11">
        <f>'24MS_Data'!AQ33-MTOM_Data!AQ33</f>
        <v>0</v>
      </c>
      <c r="AR33" s="11">
        <f>'24MS_Data'!AR33-MTOM_Data!AR33</f>
        <v>0</v>
      </c>
      <c r="AS33" s="11">
        <f>'24MS_Data'!AS33-MTOM_Data!AS33</f>
        <v>0</v>
      </c>
      <c r="AT33" s="13">
        <f>'24MS_Data'!AT33-MTOM_Data!AT33</f>
        <v>0</v>
      </c>
      <c r="AU33" s="11">
        <f>'24MS_Data'!AU33-MTOM_Data!AU33</f>
        <v>0</v>
      </c>
      <c r="AV33" s="13">
        <f>'24MS_Data'!AV33-MTOM_Data!AV33</f>
        <v>0</v>
      </c>
    </row>
    <row r="34" spans="1:48" x14ac:dyDescent="0.25">
      <c r="A34" s="49">
        <f t="shared" si="0"/>
        <v>45046</v>
      </c>
      <c r="B34" s="10">
        <f>'24MS_Data'!B34-MTOM_Data!B34</f>
        <v>0</v>
      </c>
      <c r="C34" s="11">
        <f>'24MS_Data'!C34-MTOM_Data!C34</f>
        <v>0</v>
      </c>
      <c r="D34" s="11">
        <f>'24MS_Data'!D34-MTOM_Data!D34</f>
        <v>0</v>
      </c>
      <c r="E34" s="11">
        <f>'24MS_Data'!E34-MTOM_Data!E34</f>
        <v>0</v>
      </c>
      <c r="F34" s="10">
        <f>'24MS_Data'!F34-MTOM_Data!F34</f>
        <v>0</v>
      </c>
      <c r="G34" s="11">
        <f>'24MS_Data'!G34-MTOM_Data!G34</f>
        <v>0</v>
      </c>
      <c r="H34" s="11">
        <f>'24MS_Data'!H34-MTOM_Data!H34</f>
        <v>0</v>
      </c>
      <c r="I34" s="11">
        <f>'24MS_Data'!I34-MTOM_Data!I34</f>
        <v>0</v>
      </c>
      <c r="J34" s="12">
        <f>'24MS_Data'!J34-MTOM_Data!J34</f>
        <v>0</v>
      </c>
      <c r="K34" s="11">
        <f>'24MS_Data'!K34-MTOM_Data!K34</f>
        <v>0</v>
      </c>
      <c r="L34" s="11">
        <f>'24MS_Data'!L34-MTOM_Data!L34</f>
        <v>0</v>
      </c>
      <c r="M34" s="11">
        <f>'24MS_Data'!M34-MTOM_Data!M34</f>
        <v>0</v>
      </c>
      <c r="N34" s="10">
        <f>'24MS_Data'!N34-MTOM_Data!N34</f>
        <v>0</v>
      </c>
      <c r="O34" s="11">
        <f>'24MS_Data'!O34-MTOM_Data!O34</f>
        <v>0</v>
      </c>
      <c r="P34" s="11">
        <f>'24MS_Data'!P34-MTOM_Data!P34</f>
        <v>0</v>
      </c>
      <c r="Q34" s="11">
        <f>'24MS_Data'!Q34-MTOM_Data!Q34</f>
        <v>0</v>
      </c>
      <c r="R34" s="12">
        <f>'24MS_Data'!R34-MTOM_Data!R34</f>
        <v>0</v>
      </c>
      <c r="S34" s="11">
        <f>'24MS_Data'!S34-MTOM_Data!S34</f>
        <v>0</v>
      </c>
      <c r="T34" s="11">
        <f>'24MS_Data'!T34-MTOM_Data!T34</f>
        <v>0</v>
      </c>
      <c r="U34" s="11">
        <f>'24MS_Data'!U34-MTOM_Data!U34</f>
        <v>0</v>
      </c>
      <c r="V34" s="10">
        <f>'24MS_Data'!V34-MTOM_Data!V34</f>
        <v>0</v>
      </c>
      <c r="W34" s="11">
        <f>'24MS_Data'!W34-MTOM_Data!W34</f>
        <v>0</v>
      </c>
      <c r="X34" s="12">
        <f>'24MS_Data'!X34-MTOM_Data!X34</f>
        <v>0</v>
      </c>
      <c r="Y34" s="11">
        <f>'24MS_Data'!Y34-MTOM_Data!Y34</f>
        <v>0</v>
      </c>
      <c r="Z34" s="11">
        <f>'24MS_Data'!Z34-MTOM_Data!Z34</f>
        <v>0</v>
      </c>
      <c r="AA34" s="11">
        <f>'24MS_Data'!AA34-MTOM_Data!AA34</f>
        <v>0</v>
      </c>
      <c r="AB34" s="11">
        <f>'24MS_Data'!AB34-MTOM_Data!AB34</f>
        <v>0</v>
      </c>
      <c r="AC34" s="11">
        <f>'24MS_Data'!AC34-MTOM_Data!AC34</f>
        <v>0</v>
      </c>
      <c r="AD34" s="10">
        <f>'24MS_Data'!AD34-MTOM_Data!AD34</f>
        <v>0</v>
      </c>
      <c r="AE34" s="11">
        <f>'24MS_Data'!AE34-MTOM_Data!AE34</f>
        <v>0</v>
      </c>
      <c r="AF34" s="11">
        <f>'24MS_Data'!AF34-MTOM_Data!AF34</f>
        <v>0</v>
      </c>
      <c r="AG34" s="11">
        <f>'24MS_Data'!AG34-MTOM_Data!AG34</f>
        <v>0</v>
      </c>
      <c r="AH34" s="11">
        <f>'24MS_Data'!AH34-MTOM_Data!AH34</f>
        <v>0</v>
      </c>
      <c r="AI34" s="11">
        <f>'24MS_Data'!AI34-MTOM_Data!AI34</f>
        <v>0</v>
      </c>
      <c r="AJ34" s="12">
        <f>'24MS_Data'!AJ34-MTOM_Data!AJ34</f>
        <v>0</v>
      </c>
      <c r="AK34" s="11">
        <f>'24MS_Data'!AK34-MTOM_Data!AK34</f>
        <v>0</v>
      </c>
      <c r="AL34" s="11">
        <f>'24MS_Data'!AL34-MTOM_Data!AL34</f>
        <v>0</v>
      </c>
      <c r="AM34" s="11">
        <f>'24MS_Data'!AM34-MTOM_Data!AM34</f>
        <v>0</v>
      </c>
      <c r="AN34" s="10">
        <f>'24MS_Data'!AN34-MTOM_Data!AN34</f>
        <v>0</v>
      </c>
      <c r="AO34" s="11">
        <f>'24MS_Data'!AO34-MTOM_Data!AO34</f>
        <v>0</v>
      </c>
      <c r="AP34" s="12">
        <f>'24MS_Data'!AP34-MTOM_Data!AP34</f>
        <v>0</v>
      </c>
      <c r="AQ34" s="11">
        <f>'24MS_Data'!AQ34-MTOM_Data!AQ34</f>
        <v>0</v>
      </c>
      <c r="AR34" s="11">
        <f>'24MS_Data'!AR34-MTOM_Data!AR34</f>
        <v>0</v>
      </c>
      <c r="AS34" s="11">
        <f>'24MS_Data'!AS34-MTOM_Data!AS34</f>
        <v>0</v>
      </c>
      <c r="AT34" s="13">
        <f>'24MS_Data'!AT34-MTOM_Data!AT34</f>
        <v>0</v>
      </c>
      <c r="AU34" s="11">
        <f>'24MS_Data'!AU34-MTOM_Data!AU34</f>
        <v>0</v>
      </c>
      <c r="AV34" s="13">
        <f>'24MS_Data'!AV34-MTOM_Data!AV34</f>
        <v>0</v>
      </c>
    </row>
    <row r="35" spans="1:48" x14ac:dyDescent="0.25">
      <c r="A35" s="50">
        <f t="shared" si="0"/>
        <v>45077</v>
      </c>
      <c r="B35" s="14">
        <f>'24MS_Data'!B35-MTOM_Data!B35</f>
        <v>0</v>
      </c>
      <c r="C35" s="15">
        <f>'24MS_Data'!C35-MTOM_Data!C35</f>
        <v>0</v>
      </c>
      <c r="D35" s="15">
        <f>'24MS_Data'!D35-MTOM_Data!D35</f>
        <v>0</v>
      </c>
      <c r="E35" s="15">
        <f>'24MS_Data'!E35-MTOM_Data!E35</f>
        <v>0</v>
      </c>
      <c r="F35" s="14">
        <f>'24MS_Data'!F35-MTOM_Data!F35</f>
        <v>0</v>
      </c>
      <c r="G35" s="15">
        <f>'24MS_Data'!G35-MTOM_Data!G35</f>
        <v>0</v>
      </c>
      <c r="H35" s="15">
        <f>'24MS_Data'!H35-MTOM_Data!H35</f>
        <v>0</v>
      </c>
      <c r="I35" s="15">
        <f>'24MS_Data'!I35-MTOM_Data!I35</f>
        <v>0</v>
      </c>
      <c r="J35" s="16">
        <f>'24MS_Data'!J35-MTOM_Data!J35</f>
        <v>0</v>
      </c>
      <c r="K35" s="15">
        <f>'24MS_Data'!K35-MTOM_Data!K35</f>
        <v>0</v>
      </c>
      <c r="L35" s="15">
        <f>'24MS_Data'!L35-MTOM_Data!L35</f>
        <v>0</v>
      </c>
      <c r="M35" s="15">
        <f>'24MS_Data'!M35-MTOM_Data!M35</f>
        <v>0</v>
      </c>
      <c r="N35" s="14">
        <f>'24MS_Data'!N35-MTOM_Data!N35</f>
        <v>0</v>
      </c>
      <c r="O35" s="15">
        <f>'24MS_Data'!O35-MTOM_Data!O35</f>
        <v>0</v>
      </c>
      <c r="P35" s="15">
        <f>'24MS_Data'!P35-MTOM_Data!P35</f>
        <v>0</v>
      </c>
      <c r="Q35" s="15">
        <f>'24MS_Data'!Q35-MTOM_Data!Q35</f>
        <v>0</v>
      </c>
      <c r="R35" s="16">
        <f>'24MS_Data'!R35-MTOM_Data!R35</f>
        <v>0</v>
      </c>
      <c r="S35" s="15">
        <f>'24MS_Data'!S35-MTOM_Data!S35</f>
        <v>0</v>
      </c>
      <c r="T35" s="15">
        <f>'24MS_Data'!T35-MTOM_Data!T35</f>
        <v>0</v>
      </c>
      <c r="U35" s="15">
        <f>'24MS_Data'!U35-MTOM_Data!U35</f>
        <v>0</v>
      </c>
      <c r="V35" s="14">
        <f>'24MS_Data'!V35-MTOM_Data!V35</f>
        <v>0</v>
      </c>
      <c r="W35" s="15">
        <f>'24MS_Data'!W35-MTOM_Data!W35</f>
        <v>0</v>
      </c>
      <c r="X35" s="16">
        <f>'24MS_Data'!X35-MTOM_Data!X35</f>
        <v>0</v>
      </c>
      <c r="Y35" s="15">
        <f>'24MS_Data'!Y35-MTOM_Data!Y35</f>
        <v>0</v>
      </c>
      <c r="Z35" s="15">
        <f>'24MS_Data'!Z35-MTOM_Data!Z35</f>
        <v>0</v>
      </c>
      <c r="AA35" s="15">
        <f>'24MS_Data'!AA35-MTOM_Data!AA35</f>
        <v>0</v>
      </c>
      <c r="AB35" s="15">
        <f>'24MS_Data'!AB35-MTOM_Data!AB35</f>
        <v>0</v>
      </c>
      <c r="AC35" s="15">
        <f>'24MS_Data'!AC35-MTOM_Data!AC35</f>
        <v>0</v>
      </c>
      <c r="AD35" s="14">
        <f>'24MS_Data'!AD35-MTOM_Data!AD35</f>
        <v>0</v>
      </c>
      <c r="AE35" s="15">
        <f>'24MS_Data'!AE35-MTOM_Data!AE35</f>
        <v>0</v>
      </c>
      <c r="AF35" s="15">
        <f>'24MS_Data'!AF35-MTOM_Data!AF35</f>
        <v>0</v>
      </c>
      <c r="AG35" s="15">
        <f>'24MS_Data'!AG35-MTOM_Data!AG35</f>
        <v>0</v>
      </c>
      <c r="AH35" s="15">
        <f>'24MS_Data'!AH35-MTOM_Data!AH35</f>
        <v>0</v>
      </c>
      <c r="AI35" s="15">
        <f>'24MS_Data'!AI35-MTOM_Data!AI35</f>
        <v>0</v>
      </c>
      <c r="AJ35" s="16">
        <f>'24MS_Data'!AJ35-MTOM_Data!AJ35</f>
        <v>0</v>
      </c>
      <c r="AK35" s="15">
        <f>'24MS_Data'!AK35-MTOM_Data!AK35</f>
        <v>0</v>
      </c>
      <c r="AL35" s="15">
        <f>'24MS_Data'!AL35-MTOM_Data!AL35</f>
        <v>0</v>
      </c>
      <c r="AM35" s="15">
        <f>'24MS_Data'!AM35-MTOM_Data!AM35</f>
        <v>0</v>
      </c>
      <c r="AN35" s="14">
        <f>'24MS_Data'!AN35-MTOM_Data!AN35</f>
        <v>0</v>
      </c>
      <c r="AO35" s="15">
        <f>'24MS_Data'!AO35-MTOM_Data!AO35</f>
        <v>0</v>
      </c>
      <c r="AP35" s="16">
        <f>'24MS_Data'!AP35-MTOM_Data!AP35</f>
        <v>0</v>
      </c>
      <c r="AQ35" s="15">
        <f>'24MS_Data'!AQ35-MTOM_Data!AQ35</f>
        <v>0</v>
      </c>
      <c r="AR35" s="15">
        <f>'24MS_Data'!AR35-MTOM_Data!AR35</f>
        <v>0</v>
      </c>
      <c r="AS35" s="15">
        <f>'24MS_Data'!AS35-MTOM_Data!AS35</f>
        <v>0</v>
      </c>
      <c r="AT35" s="17">
        <f>'24MS_Data'!AT35-MTOM_Data!AT35</f>
        <v>0</v>
      </c>
      <c r="AU35" s="15">
        <f>'24MS_Data'!AU35-MTOM_Data!AU35</f>
        <v>0</v>
      </c>
      <c r="AV35" s="17">
        <f>'24MS_Data'!AV35-MTOM_Data!AV35</f>
        <v>0</v>
      </c>
    </row>
  </sheetData>
  <mergeCells count="13">
    <mergeCell ref="B1:Y1"/>
    <mergeCell ref="AB1:AV1"/>
    <mergeCell ref="Y2:AC2"/>
    <mergeCell ref="AD2:AJ2"/>
    <mergeCell ref="AK2:AM2"/>
    <mergeCell ref="AN2:AP2"/>
    <mergeCell ref="AQ2:AS2"/>
    <mergeCell ref="V2:X2"/>
    <mergeCell ref="B2:E2"/>
    <mergeCell ref="F2:J2"/>
    <mergeCell ref="K2:M2"/>
    <mergeCell ref="N2:R2"/>
    <mergeCell ref="S2:U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6"/>
  </sheetPr>
  <dimension ref="A1:V40"/>
  <sheetViews>
    <sheetView tabSelected="1" zoomScaleNormal="100" workbookViewId="0">
      <selection activeCell="A39" sqref="A39:U39"/>
    </sheetView>
  </sheetViews>
  <sheetFormatPr defaultRowHeight="15" x14ac:dyDescent="0.25"/>
  <cols>
    <col min="1" max="1" width="10.7109375" bestFit="1" customWidth="1"/>
    <col min="2" max="2" width="15.140625" customWidth="1"/>
    <col min="3" max="3" width="13.28515625" customWidth="1"/>
    <col min="4" max="4" width="13" customWidth="1"/>
    <col min="5" max="5" width="5" customWidth="1"/>
  </cols>
  <sheetData>
    <row r="1" spans="1:2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2" ht="19.5" customHeight="1" x14ac:dyDescent="0.3">
      <c r="A2" s="129" t="str">
        <f ca="1">LOOKUP($A$36,SlotID,SlotName)</f>
        <v>Havasu.Pool Elevation</v>
      </c>
      <c r="B2" s="129"/>
      <c r="C2" s="129"/>
      <c r="D2" s="129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1:22" x14ac:dyDescent="0.25">
      <c r="A3" s="57"/>
      <c r="B3" s="18" t="s">
        <v>37</v>
      </c>
      <c r="C3" s="25" t="s">
        <v>100</v>
      </c>
      <c r="D3" s="34" t="s">
        <v>38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2" ht="14.45" customHeight="1" x14ac:dyDescent="0.25">
      <c r="A4" s="55">
        <f>Compare_Data!A4</f>
        <v>44135</v>
      </c>
      <c r="B4" s="58">
        <f t="shared" ref="B4:B35" ca="1" si="0">IF(A4&gt;$D$38,"",LOOKUP($A4,TFTime,INDIRECT(A$38)))</f>
        <v>447.49999999999949</v>
      </c>
      <c r="C4" s="54">
        <f ca="1">IF(A4&gt;$D$38,"",LOOKUP($A4,TFTime,INDIRECT(B$38)))</f>
        <v>447.49999999907499</v>
      </c>
      <c r="D4" s="59">
        <f t="shared" ref="D4:D35" ca="1" si="1">IF(A4&gt;$D$38,"",LOOKUP($A4,TFTime,INDIRECT(C$38)))</f>
        <v>9.2450136435218155E-10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2" ht="14.45" customHeight="1" x14ac:dyDescent="0.25">
      <c r="A5" s="55">
        <f>Compare_Data!A5</f>
        <v>44165</v>
      </c>
      <c r="B5" s="58">
        <f t="shared" ca="1" si="0"/>
        <v>447.49999999999949</v>
      </c>
      <c r="C5" s="54">
        <f t="shared" ref="C5:C35" ca="1" si="2">IF(A5&gt;$D$38,"",LOOKUP($A5,TFTime,INDIRECT(B$38)))</f>
        <v>447.49999999999727</v>
      </c>
      <c r="D5" s="59">
        <f t="shared" ca="1" si="1"/>
        <v>2.2168933355715126E-12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1:22" ht="14.45" customHeight="1" x14ac:dyDescent="0.25">
      <c r="A6" s="55">
        <f>Compare_Data!A6</f>
        <v>44196</v>
      </c>
      <c r="B6" s="58">
        <f t="shared" ca="1" si="0"/>
        <v>446.49999999999949</v>
      </c>
      <c r="C6" s="54">
        <f t="shared" ca="1" si="2"/>
        <v>446.50000000010687</v>
      </c>
      <c r="D6" s="59">
        <f t="shared" ca="1" si="1"/>
        <v>-1.0737721822806634E-10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2" ht="14.45" customHeight="1" x14ac:dyDescent="0.25">
      <c r="A7" s="55">
        <f>Compare_Data!A7</f>
        <v>44227</v>
      </c>
      <c r="B7" s="58">
        <f t="shared" ca="1" si="0"/>
        <v>446.49999999999949</v>
      </c>
      <c r="C7" s="54">
        <f t="shared" ca="1" si="2"/>
        <v>446.49999999999773</v>
      </c>
      <c r="D7" s="59">
        <f t="shared" ca="1" si="1"/>
        <v>1.7621459846850485E-12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spans="1:22" ht="14.45" customHeight="1" x14ac:dyDescent="0.25">
      <c r="A8" s="55">
        <f>Compare_Data!A8</f>
        <v>44255</v>
      </c>
      <c r="B8" s="58">
        <f t="shared" ca="1" si="0"/>
        <v>446.49999999999949</v>
      </c>
      <c r="C8" s="54">
        <f t="shared" ca="1" si="2"/>
        <v>446.49999999999812</v>
      </c>
      <c r="D8" s="59">
        <f t="shared" ca="1" si="1"/>
        <v>1.3642420526593924E-12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65"/>
    </row>
    <row r="9" spans="1:22" ht="14.45" customHeight="1" x14ac:dyDescent="0.25">
      <c r="A9" s="55">
        <f>Compare_Data!A9</f>
        <v>44286</v>
      </c>
      <c r="B9" s="58">
        <f t="shared" ca="1" si="0"/>
        <v>446.69999999999948</v>
      </c>
      <c r="C9" s="54">
        <f t="shared" ca="1" si="2"/>
        <v>446.69999999993462</v>
      </c>
      <c r="D9" s="59">
        <f t="shared" ca="1" si="1"/>
        <v>6.4858340920181945E-11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65"/>
    </row>
    <row r="10" spans="1:22" ht="14.45" customHeight="1" x14ac:dyDescent="0.25">
      <c r="A10" s="55">
        <f>Compare_Data!A10</f>
        <v>44316</v>
      </c>
      <c r="B10" s="58">
        <f t="shared" ca="1" si="0"/>
        <v>448.69999999999948</v>
      </c>
      <c r="C10" s="54">
        <f t="shared" ca="1" si="2"/>
        <v>448.69999999886124</v>
      </c>
      <c r="D10" s="59">
        <f t="shared" ca="1" si="1"/>
        <v>1.1382326192688197E-9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65"/>
    </row>
    <row r="11" spans="1:22" ht="14.45" customHeight="1" x14ac:dyDescent="0.25">
      <c r="A11" s="55">
        <f>Compare_Data!A11</f>
        <v>44347</v>
      </c>
      <c r="B11" s="58">
        <f t="shared" ca="1" si="0"/>
        <v>448.69999999999948</v>
      </c>
      <c r="C11" s="54">
        <f t="shared" ca="1" si="2"/>
        <v>448.69999999999379</v>
      </c>
      <c r="D11" s="59">
        <f t="shared" ca="1" si="1"/>
        <v>5.6843418860808015E-12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65"/>
    </row>
    <row r="12" spans="1:22" ht="14.45" customHeight="1" x14ac:dyDescent="0.25">
      <c r="A12" s="55">
        <f>Compare_Data!A12</f>
        <v>44377</v>
      </c>
      <c r="B12" s="58">
        <f t="shared" ca="1" si="0"/>
        <v>448.69999999999948</v>
      </c>
      <c r="C12" s="54">
        <f t="shared" ca="1" si="2"/>
        <v>448.69999999998726</v>
      </c>
      <c r="D12" s="59">
        <f t="shared" ca="1" si="1"/>
        <v>1.2221335055073723E-11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65"/>
    </row>
    <row r="13" spans="1:22" ht="14.45" customHeight="1" x14ac:dyDescent="0.25">
      <c r="A13" s="55">
        <f>Compare_Data!A13</f>
        <v>44408</v>
      </c>
      <c r="B13" s="58">
        <f t="shared" ca="1" si="0"/>
        <v>447.99999999999949</v>
      </c>
      <c r="C13" s="54">
        <f t="shared" ca="1" si="2"/>
        <v>447.99999999995981</v>
      </c>
      <c r="D13" s="59">
        <f t="shared" ca="1" si="1"/>
        <v>3.9676706364843994E-11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65"/>
    </row>
    <row r="14" spans="1:22" ht="14.45" customHeight="1" x14ac:dyDescent="0.25">
      <c r="A14" s="55">
        <f>Compare_Data!A14</f>
        <v>44439</v>
      </c>
      <c r="B14" s="58">
        <f t="shared" ca="1" si="0"/>
        <v>447.50000000328043</v>
      </c>
      <c r="C14" s="54">
        <f t="shared" ca="1" si="2"/>
        <v>447.50000000179955</v>
      </c>
      <c r="D14" s="59">
        <f t="shared" ca="1" si="1"/>
        <v>1.4808847481617704E-9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65"/>
    </row>
    <row r="15" spans="1:22" ht="14.45" customHeight="1" x14ac:dyDescent="0.25">
      <c r="A15" s="55">
        <f>Compare_Data!A15</f>
        <v>44469</v>
      </c>
      <c r="B15" s="58">
        <f t="shared" ca="1" si="0"/>
        <v>447.49999999999949</v>
      </c>
      <c r="C15" s="54">
        <f t="shared" ca="1" si="2"/>
        <v>447.49999999998084</v>
      </c>
      <c r="D15" s="59">
        <f t="shared" ca="1" si="1"/>
        <v>1.8644641386345029E-11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65"/>
    </row>
    <row r="16" spans="1:22" ht="14.45" customHeight="1" x14ac:dyDescent="0.25">
      <c r="A16" s="55">
        <f>Compare_Data!A16</f>
        <v>44500</v>
      </c>
      <c r="B16" s="58">
        <f t="shared" ca="1" si="0"/>
        <v>447.49999999999949</v>
      </c>
      <c r="C16" s="54">
        <f t="shared" ca="1" si="2"/>
        <v>447.49999999999972</v>
      </c>
      <c r="D16" s="59">
        <f t="shared" ca="1" si="1"/>
        <v>0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65"/>
    </row>
    <row r="17" spans="1:22" ht="14.45" customHeight="1" x14ac:dyDescent="0.25">
      <c r="A17" s="55">
        <f>Compare_Data!A17</f>
        <v>44530</v>
      </c>
      <c r="B17" s="58">
        <f t="shared" ca="1" si="0"/>
        <v>447.49999999999949</v>
      </c>
      <c r="C17" s="54">
        <f t="shared" ca="1" si="2"/>
        <v>447.49999999999352</v>
      </c>
      <c r="D17" s="59">
        <f t="shared" ca="1" si="1"/>
        <v>5.9685589803848416E-12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65"/>
    </row>
    <row r="18" spans="1:22" ht="14.45" customHeight="1" x14ac:dyDescent="0.25">
      <c r="A18" s="55">
        <f>Compare_Data!A18</f>
        <v>44561</v>
      </c>
      <c r="B18" s="58">
        <f t="shared" ca="1" si="0"/>
        <v>446.49999999999949</v>
      </c>
      <c r="C18" s="54">
        <f t="shared" ca="1" si="2"/>
        <v>446.50000000010533</v>
      </c>
      <c r="D18" s="59">
        <f t="shared" ca="1" si="1"/>
        <v>-1.0584244591882452E-10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65"/>
    </row>
    <row r="19" spans="1:22" ht="14.45" customHeight="1" x14ac:dyDescent="0.25">
      <c r="A19" s="55">
        <f>Compare_Data!A19</f>
        <v>44592</v>
      </c>
      <c r="B19" s="58">
        <f t="shared" ca="1" si="0"/>
        <v>446.49999999999949</v>
      </c>
      <c r="C19" s="54">
        <f t="shared" ca="1" si="2"/>
        <v>446.49999999999773</v>
      </c>
      <c r="D19" s="59">
        <f t="shared" ca="1" si="1"/>
        <v>1.7621459846850485E-12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65"/>
    </row>
    <row r="20" spans="1:22" ht="14.45" customHeight="1" x14ac:dyDescent="0.25">
      <c r="A20" s="55">
        <f>Compare_Data!A20</f>
        <v>44620</v>
      </c>
      <c r="B20" s="58">
        <f t="shared" ca="1" si="0"/>
        <v>446.49999999999949</v>
      </c>
      <c r="C20" s="54">
        <f t="shared" ca="1" si="2"/>
        <v>446.49999999999812</v>
      </c>
      <c r="D20" s="59">
        <f t="shared" ca="1" si="1"/>
        <v>1.3642420526593924E-12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65"/>
    </row>
    <row r="21" spans="1:22" ht="14.45" customHeight="1" x14ac:dyDescent="0.25">
      <c r="A21" s="55">
        <f>Compare_Data!A21</f>
        <v>44651</v>
      </c>
      <c r="B21" s="58">
        <f t="shared" ca="1" si="0"/>
        <v>446.69999999999948</v>
      </c>
      <c r="C21" s="54">
        <f t="shared" ca="1" si="2"/>
        <v>446.69999999993462</v>
      </c>
      <c r="D21" s="59">
        <f t="shared" ca="1" si="1"/>
        <v>6.4858340920181945E-11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65"/>
    </row>
    <row r="22" spans="1:22" ht="14.45" customHeight="1" x14ac:dyDescent="0.25">
      <c r="A22" s="55">
        <f>Compare_Data!A22</f>
        <v>44681</v>
      </c>
      <c r="B22" s="58">
        <f t="shared" ca="1" si="0"/>
        <v>448.69999999999948</v>
      </c>
      <c r="C22" s="54">
        <f t="shared" ca="1" si="2"/>
        <v>448.69999999886124</v>
      </c>
      <c r="D22" s="59">
        <f t="shared" ca="1" si="1"/>
        <v>1.1382326192688197E-9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65"/>
    </row>
    <row r="23" spans="1:22" ht="14.45" customHeight="1" x14ac:dyDescent="0.25">
      <c r="A23" s="55">
        <f>Compare_Data!A23</f>
        <v>44712</v>
      </c>
      <c r="B23" s="58">
        <f t="shared" ca="1" si="0"/>
        <v>448.69999999999948</v>
      </c>
      <c r="C23" s="54">
        <f t="shared" ca="1" si="2"/>
        <v>448.69999999999379</v>
      </c>
      <c r="D23" s="59">
        <f t="shared" ca="1" si="1"/>
        <v>5.6843418860808015E-12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65"/>
    </row>
    <row r="24" spans="1:22" x14ac:dyDescent="0.25">
      <c r="A24" s="55">
        <f>Compare_Data!A24</f>
        <v>44742</v>
      </c>
      <c r="B24" s="58">
        <f t="shared" ca="1" si="0"/>
        <v>448.69999999999948</v>
      </c>
      <c r="C24" s="54">
        <f t="shared" ca="1" si="2"/>
        <v>448.69999999998726</v>
      </c>
      <c r="D24" s="59">
        <f t="shared" ca="1" si="1"/>
        <v>1.2221335055073723E-11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65"/>
    </row>
    <row r="25" spans="1:22" x14ac:dyDescent="0.25">
      <c r="A25" s="55">
        <f>Compare_Data!A25</f>
        <v>44773</v>
      </c>
      <c r="B25" s="58">
        <f t="shared" ca="1" si="0"/>
        <v>447.99999999999949</v>
      </c>
      <c r="C25" s="54">
        <f t="shared" ca="1" si="2"/>
        <v>447.99999999995981</v>
      </c>
      <c r="D25" s="59">
        <f t="shared" ca="1" si="1"/>
        <v>3.9676706364843994E-11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65"/>
    </row>
    <row r="26" spans="1:22" x14ac:dyDescent="0.25">
      <c r="A26" s="55">
        <f>Compare_Data!A26</f>
        <v>44804</v>
      </c>
      <c r="B26" s="58">
        <f t="shared" ca="1" si="0"/>
        <v>447.50000000328043</v>
      </c>
      <c r="C26" s="54">
        <f t="shared" ca="1" si="2"/>
        <v>447.50000000179955</v>
      </c>
      <c r="D26" s="59">
        <f t="shared" ca="1" si="1"/>
        <v>1.4808847481617704E-9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65"/>
    </row>
    <row r="27" spans="1:22" x14ac:dyDescent="0.25">
      <c r="A27" s="55">
        <f>Compare_Data!A27</f>
        <v>44834</v>
      </c>
      <c r="B27" s="58">
        <f t="shared" ca="1" si="0"/>
        <v>447.49999999999949</v>
      </c>
      <c r="C27" s="54">
        <f t="shared" ca="1" si="2"/>
        <v>447.49999999998084</v>
      </c>
      <c r="D27" s="59">
        <f t="shared" ca="1" si="1"/>
        <v>1.8644641386345029E-11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65"/>
    </row>
    <row r="28" spans="1:22" x14ac:dyDescent="0.25">
      <c r="A28" s="55">
        <f>Compare_Data!A28</f>
        <v>44865</v>
      </c>
      <c r="B28" s="58" t="str">
        <f t="shared" ca="1" si="0"/>
        <v/>
      </c>
      <c r="C28" s="54" t="str">
        <f t="shared" ca="1" si="2"/>
        <v/>
      </c>
      <c r="D28" s="59" t="str">
        <f t="shared" ca="1" si="1"/>
        <v/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65"/>
    </row>
    <row r="29" spans="1:22" x14ac:dyDescent="0.25">
      <c r="A29" s="55">
        <f>Compare_Data!A29</f>
        <v>44895</v>
      </c>
      <c r="B29" s="58" t="str">
        <f t="shared" ca="1" si="0"/>
        <v/>
      </c>
      <c r="C29" s="54" t="str">
        <f t="shared" ca="1" si="2"/>
        <v/>
      </c>
      <c r="D29" s="59" t="str">
        <f t="shared" ca="1" si="1"/>
        <v/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65"/>
    </row>
    <row r="30" spans="1:22" x14ac:dyDescent="0.25">
      <c r="A30" s="55">
        <f>Compare_Data!A30</f>
        <v>44926</v>
      </c>
      <c r="B30" s="58" t="str">
        <f t="shared" ca="1" si="0"/>
        <v/>
      </c>
      <c r="C30" s="54" t="str">
        <f t="shared" ca="1" si="2"/>
        <v/>
      </c>
      <c r="D30" s="59" t="str">
        <f t="shared" ca="1" si="1"/>
        <v/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65"/>
    </row>
    <row r="31" spans="1:22" x14ac:dyDescent="0.25">
      <c r="A31" s="55">
        <f>Compare_Data!A31</f>
        <v>44957</v>
      </c>
      <c r="B31" s="58" t="str">
        <f t="shared" ca="1" si="0"/>
        <v/>
      </c>
      <c r="C31" s="54" t="str">
        <f t="shared" ca="1" si="2"/>
        <v/>
      </c>
      <c r="D31" s="59" t="str">
        <f t="shared" ca="1" si="1"/>
        <v/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65"/>
    </row>
    <row r="32" spans="1:22" x14ac:dyDescent="0.25">
      <c r="A32" s="55">
        <f>Compare_Data!A32</f>
        <v>44985</v>
      </c>
      <c r="B32" s="58" t="str">
        <f t="shared" ca="1" si="0"/>
        <v/>
      </c>
      <c r="C32" s="54" t="str">
        <f t="shared" ca="1" si="2"/>
        <v/>
      </c>
      <c r="D32" s="59" t="str">
        <f t="shared" ca="1" si="1"/>
        <v/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65"/>
    </row>
    <row r="33" spans="1:22" x14ac:dyDescent="0.25">
      <c r="A33" s="55">
        <f>Compare_Data!A33</f>
        <v>45016</v>
      </c>
      <c r="B33" s="58" t="str">
        <f t="shared" ca="1" si="0"/>
        <v/>
      </c>
      <c r="C33" s="54" t="str">
        <f t="shared" ca="1" si="2"/>
        <v/>
      </c>
      <c r="D33" s="59" t="str">
        <f t="shared" ca="1" si="1"/>
        <v/>
      </c>
      <c r="E33" s="1"/>
      <c r="F33" s="1"/>
      <c r="G33" s="66"/>
      <c r="H33" s="66"/>
      <c r="I33" s="66"/>
      <c r="J33" s="66"/>
      <c r="K33" s="66"/>
      <c r="L33" s="66"/>
      <c r="M33" s="1"/>
      <c r="N33" s="1"/>
      <c r="O33" s="1"/>
      <c r="P33" s="1"/>
      <c r="Q33" s="1"/>
      <c r="R33" s="1"/>
      <c r="S33" s="1"/>
      <c r="T33" s="1"/>
      <c r="U33" s="1"/>
      <c r="V33" s="65"/>
    </row>
    <row r="34" spans="1:22" x14ac:dyDescent="0.25">
      <c r="A34" s="55">
        <f>Compare_Data!A34</f>
        <v>45046</v>
      </c>
      <c r="B34" s="58" t="str">
        <f t="shared" ca="1" si="0"/>
        <v/>
      </c>
      <c r="C34" s="54" t="str">
        <f t="shared" ca="1" si="2"/>
        <v/>
      </c>
      <c r="D34" s="59" t="str">
        <f t="shared" ca="1" si="1"/>
        <v/>
      </c>
      <c r="E34" s="1"/>
      <c r="F34" s="1"/>
      <c r="G34" s="69"/>
      <c r="H34" s="69" t="s">
        <v>60</v>
      </c>
      <c r="I34" s="69" t="s">
        <v>61</v>
      </c>
      <c r="J34" s="69"/>
      <c r="K34" s="66"/>
      <c r="L34" s="66"/>
      <c r="M34" s="1"/>
      <c r="N34" s="1"/>
      <c r="O34" s="1"/>
      <c r="P34" s="1"/>
      <c r="Q34" s="1"/>
      <c r="R34" s="1"/>
      <c r="S34" s="1"/>
      <c r="T34" s="1"/>
      <c r="U34" s="1"/>
      <c r="V34" s="65"/>
    </row>
    <row r="35" spans="1:22" x14ac:dyDescent="0.25">
      <c r="A35" s="56">
        <f>Compare_Data!A35</f>
        <v>45077</v>
      </c>
      <c r="B35" s="58" t="str">
        <f t="shared" ca="1" si="0"/>
        <v/>
      </c>
      <c r="C35" s="54" t="str">
        <f t="shared" ca="1" si="2"/>
        <v/>
      </c>
      <c r="D35" s="59" t="str">
        <f t="shared" ca="1" si="1"/>
        <v/>
      </c>
      <c r="E35" s="1"/>
      <c r="F35" s="1"/>
      <c r="G35" s="69" t="s">
        <v>57</v>
      </c>
      <c r="H35" s="69">
        <f ca="1">IF(I35="",ROUND(0.1*(MAX(B4:C27)-1.5*(MAX(B4:C27)-MIN(B4:C27))),0)*10,I35)</f>
        <v>450</v>
      </c>
      <c r="I35" s="69"/>
      <c r="J35" s="69"/>
      <c r="K35" s="66"/>
      <c r="L35" s="66"/>
      <c r="M35" s="1"/>
      <c r="N35" s="1"/>
      <c r="O35" s="1"/>
      <c r="P35" s="1"/>
      <c r="Q35" s="1"/>
      <c r="R35" s="1"/>
      <c r="S35" s="1"/>
      <c r="T35" s="1"/>
      <c r="U35" s="1"/>
      <c r="V35" s="65"/>
    </row>
    <row r="36" spans="1:22" x14ac:dyDescent="0.25">
      <c r="A36" s="35">
        <v>42</v>
      </c>
      <c r="B36" s="35"/>
      <c r="C36" s="35"/>
      <c r="D36" s="1"/>
      <c r="E36" s="1"/>
      <c r="F36" s="1"/>
      <c r="G36" s="69" t="s">
        <v>58</v>
      </c>
      <c r="H36" s="69">
        <f ca="1">IF(I36="",IF(MIN(D4:D27)&gt;=0,0,IF(MIN(D4:D27)&lt;-10,ROUND((MIN(D4:D27)-5)*0.1,0)*10,ROUND((MIN(D4:D27)-2.5)*0.2,0)*5)),I36)</f>
        <v>-5</v>
      </c>
      <c r="I36" s="69"/>
      <c r="J36" s="69"/>
      <c r="K36" s="66"/>
      <c r="L36" s="66"/>
      <c r="M36" s="1"/>
      <c r="N36" s="1"/>
      <c r="O36" s="1"/>
      <c r="P36" s="1"/>
      <c r="Q36" s="1"/>
      <c r="R36" s="1"/>
      <c r="S36" s="1"/>
      <c r="T36" s="1"/>
      <c r="U36" s="1"/>
    </row>
    <row r="37" spans="1:22" x14ac:dyDescent="0.25">
      <c r="A37" s="35" t="str">
        <f ca="1">LOOKUP($A$36,SlotID,RangeName)</f>
        <v>Hav_Elev</v>
      </c>
      <c r="B37" s="35"/>
      <c r="C37" s="35"/>
      <c r="D37" s="1">
        <f>LOOKUP(RunInformation!$C$6,RunInformation!$I$4:$I$13,RunInformation!$J$4:$J$13)</f>
        <v>24</v>
      </c>
      <c r="E37" s="1"/>
      <c r="F37" s="1"/>
      <c r="G37" s="69" t="s">
        <v>59</v>
      </c>
      <c r="H37" s="69">
        <f ca="1">IF(I37="",ROUNDUP(MAX(D4:D27)+5*(MAX(D4:D27)-MIN(D4:D27)),0),I37)</f>
        <v>1</v>
      </c>
      <c r="I37" s="69"/>
      <c r="J37" s="69"/>
      <c r="K37" s="66"/>
      <c r="L37" s="66"/>
      <c r="M37" s="1"/>
      <c r="N37" s="1"/>
      <c r="O37" s="1"/>
      <c r="P37" s="1"/>
      <c r="Q37" s="1"/>
      <c r="R37" s="1"/>
      <c r="S37" s="1"/>
      <c r="T37" s="1"/>
      <c r="U37" s="1"/>
    </row>
    <row r="38" spans="1:22" x14ac:dyDescent="0.25">
      <c r="A38" s="35" t="str">
        <f ca="1">"TFMS_" &amp; A37</f>
        <v>TFMS_Hav_Elev</v>
      </c>
      <c r="B38" s="35" t="str">
        <f ca="1">"MTPO_" &amp; A37</f>
        <v>MTPO_Hav_Elev</v>
      </c>
      <c r="C38" s="35" t="str">
        <f ca="1">"Diff_" &amp; A37</f>
        <v>Diff_Hav_Elev</v>
      </c>
      <c r="D38" s="63">
        <f>INDEX(A4:A35,$D$37,1)</f>
        <v>44834</v>
      </c>
      <c r="E38" s="1"/>
      <c r="F38" s="1"/>
      <c r="G38" s="66"/>
      <c r="H38" s="66"/>
      <c r="I38" s="66"/>
      <c r="J38" s="66"/>
      <c r="K38" s="66"/>
      <c r="L38" s="66"/>
      <c r="M38" s="1"/>
      <c r="N38" s="1"/>
      <c r="O38" s="1"/>
      <c r="P38" s="1"/>
      <c r="Q38" s="1"/>
      <c r="R38" s="1"/>
      <c r="S38" s="1"/>
      <c r="T38" s="1"/>
      <c r="U38" s="1"/>
    </row>
    <row r="39" spans="1:22" x14ac:dyDescent="0.25">
      <c r="D39" s="64"/>
      <c r="G39" s="67"/>
      <c r="H39" s="68"/>
      <c r="I39" s="67"/>
      <c r="J39" s="67"/>
      <c r="K39" s="67"/>
      <c r="L39" s="67"/>
    </row>
    <row r="40" spans="1:22" x14ac:dyDescent="0.25">
      <c r="G40" s="67"/>
      <c r="H40" s="67"/>
      <c r="I40" s="67"/>
      <c r="J40" s="67"/>
      <c r="K40" s="67"/>
      <c r="L40" s="67"/>
    </row>
  </sheetData>
  <mergeCells count="1">
    <mergeCell ref="A2:D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Drop Down 1">
              <controlPr defaultSize="0" autoLine="0" autoPict="0" macro="[0]!setToAuto">
                <anchor moveWithCells="1">
                  <from>
                    <xdr:col>5</xdr:col>
                    <xdr:colOff>133350</xdr:colOff>
                    <xdr:row>1</xdr:row>
                    <xdr:rowOff>123825</xdr:rowOff>
                  </from>
                  <to>
                    <xdr:col>8</xdr:col>
                    <xdr:colOff>171450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iffToSecondAxis">
                <anchor moveWithCells="1" sizeWithCells="1">
                  <from>
                    <xdr:col>17</xdr:col>
                    <xdr:colOff>352425</xdr:colOff>
                    <xdr:row>2</xdr:row>
                    <xdr:rowOff>19050</xdr:rowOff>
                  </from>
                  <to>
                    <xdr:col>19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148</vt:i4>
      </vt:variant>
    </vt:vector>
  </HeadingPairs>
  <TitlesOfParts>
    <vt:vector size="153" baseType="lpstr">
      <vt:lpstr>RunInformation</vt:lpstr>
      <vt:lpstr>24MS_Data</vt:lpstr>
      <vt:lpstr>MTOM_Data</vt:lpstr>
      <vt:lpstr>Compare_Data</vt:lpstr>
      <vt:lpstr>Compare_Plots</vt:lpstr>
      <vt:lpstr>Diff_BM_Elev</vt:lpstr>
      <vt:lpstr>Diff_BM_In</vt:lpstr>
      <vt:lpstr>Diff_BM_Out</vt:lpstr>
      <vt:lpstr>Diff_BM_Spill</vt:lpstr>
      <vt:lpstr>Diff_BMIn_Unreg</vt:lpstr>
      <vt:lpstr>Diff_CAP_DivReq</vt:lpstr>
      <vt:lpstr>Diff_Cry_Elev</vt:lpstr>
      <vt:lpstr>Diff_Cry_Out</vt:lpstr>
      <vt:lpstr>Diff_Cry_Spill</vt:lpstr>
      <vt:lpstr>Diff_FG_Elev</vt:lpstr>
      <vt:lpstr>Diff_FG_In</vt:lpstr>
      <vt:lpstr>Diff_FG_Out</vt:lpstr>
      <vt:lpstr>Diff_FG_Spill</vt:lpstr>
      <vt:lpstr>Diff_FGIn_Unreg</vt:lpstr>
      <vt:lpstr>Diff_Font_Elev</vt:lpstr>
      <vt:lpstr>Diff_Font_In</vt:lpstr>
      <vt:lpstr>Diff_Font_Out</vt:lpstr>
      <vt:lpstr>Diff_Font_Spill</vt:lpstr>
      <vt:lpstr>Diff_Hav_Egy</vt:lpstr>
      <vt:lpstr>Diff_Hav_Elev</vt:lpstr>
      <vt:lpstr>Diff_Hav_Out</vt:lpstr>
      <vt:lpstr>Diff_Md_Egy</vt:lpstr>
      <vt:lpstr>Diff_Md_Elev</vt:lpstr>
      <vt:lpstr>Diff_Md_Out</vt:lpstr>
      <vt:lpstr>Diff_Mo_Egy</vt:lpstr>
      <vt:lpstr>Diff_Mo_Elev</vt:lpstr>
      <vt:lpstr>Diff_Mo_Out</vt:lpstr>
      <vt:lpstr>Diff_MWD_DivReq</vt:lpstr>
      <vt:lpstr>Diff_Nav_Elev</vt:lpstr>
      <vt:lpstr>Diff_Nav_In</vt:lpstr>
      <vt:lpstr>Diff_Nav_Out</vt:lpstr>
      <vt:lpstr>Diff_Nav_Spill</vt:lpstr>
      <vt:lpstr>Diff_NavIn_Unreg</vt:lpstr>
      <vt:lpstr>Diff_Pow_Elev</vt:lpstr>
      <vt:lpstr>Diff_Pow_Evap</vt:lpstr>
      <vt:lpstr>Diff_Pow_In</vt:lpstr>
      <vt:lpstr>Diff_Pow_Out</vt:lpstr>
      <vt:lpstr>Diff_Pow_Spill</vt:lpstr>
      <vt:lpstr>Diff_Pow_Storage</vt:lpstr>
      <vt:lpstr>Diff_PowIn_Unreg</vt:lpstr>
      <vt:lpstr>Diff_SNWP_DivReq</vt:lpstr>
      <vt:lpstr>Diff_Time</vt:lpstr>
      <vt:lpstr>Diff_TP_Elev</vt:lpstr>
      <vt:lpstr>Diff_TP_In</vt:lpstr>
      <vt:lpstr>Diff_TP_Out</vt:lpstr>
      <vt:lpstr>Diff_Val_Elev</vt:lpstr>
      <vt:lpstr>Diff_Val_In</vt:lpstr>
      <vt:lpstr>Diff_Val_Out</vt:lpstr>
      <vt:lpstr>Elevation</vt:lpstr>
      <vt:lpstr>MOMTime</vt:lpstr>
      <vt:lpstr>MTPO_BM_Elev</vt:lpstr>
      <vt:lpstr>MTPO_BM_In</vt:lpstr>
      <vt:lpstr>MTPO_BM_Out</vt:lpstr>
      <vt:lpstr>MTPO_BM_Spill</vt:lpstr>
      <vt:lpstr>MTPO_BMIn_Unreg</vt:lpstr>
      <vt:lpstr>MTPO_CAP_DivReq</vt:lpstr>
      <vt:lpstr>MTPO_Cry_Elev</vt:lpstr>
      <vt:lpstr>MTPO_Cry_Out</vt:lpstr>
      <vt:lpstr>MTPO_Cry_Spill</vt:lpstr>
      <vt:lpstr>MTPO_FG_Elev</vt:lpstr>
      <vt:lpstr>MTPO_FG_In</vt:lpstr>
      <vt:lpstr>MTPO_FG_Out</vt:lpstr>
      <vt:lpstr>MTPO_FG_Spill</vt:lpstr>
      <vt:lpstr>MTPO_FGIn_Unreg</vt:lpstr>
      <vt:lpstr>MTPO_Font_Elev</vt:lpstr>
      <vt:lpstr>MTPO_Font_In</vt:lpstr>
      <vt:lpstr>MTPO_Font_Out</vt:lpstr>
      <vt:lpstr>MTPO_Font_Spill</vt:lpstr>
      <vt:lpstr>MTPO_Hav_Egy</vt:lpstr>
      <vt:lpstr>MTPO_Hav_Elev</vt:lpstr>
      <vt:lpstr>MTPO_Hav_Out</vt:lpstr>
      <vt:lpstr>MTPO_Md_Egy</vt:lpstr>
      <vt:lpstr>MTPO_Md_Elev</vt:lpstr>
      <vt:lpstr>MTPO_Md_Out</vt:lpstr>
      <vt:lpstr>MTPO_Mo_Egy</vt:lpstr>
      <vt:lpstr>MTPO_Mo_Elev</vt:lpstr>
      <vt:lpstr>MTPO_Mo_Out</vt:lpstr>
      <vt:lpstr>MTPO_MWD_DivReq</vt:lpstr>
      <vt:lpstr>MTPO_Nav_Elev</vt:lpstr>
      <vt:lpstr>MTPO_Nav_In</vt:lpstr>
      <vt:lpstr>MTPO_Nav_Out</vt:lpstr>
      <vt:lpstr>MTPO_Nav_Spill</vt:lpstr>
      <vt:lpstr>MTPO_NavIn_Unreg</vt:lpstr>
      <vt:lpstr>MTPO_Pow_Elev</vt:lpstr>
      <vt:lpstr>MTPO_Pow_Evap</vt:lpstr>
      <vt:lpstr>MTPO_Pow_In</vt:lpstr>
      <vt:lpstr>MTPO_Pow_Out</vt:lpstr>
      <vt:lpstr>MTPO_Pow_Spill</vt:lpstr>
      <vt:lpstr>MTPO_Pow_Storage</vt:lpstr>
      <vt:lpstr>MTPO_PowIn_Unreg</vt:lpstr>
      <vt:lpstr>MTPO_SNWP_DivReq</vt:lpstr>
      <vt:lpstr>MTPO_TP_Elev</vt:lpstr>
      <vt:lpstr>MTPO_TP_In</vt:lpstr>
      <vt:lpstr>MTPO_TP_Out</vt:lpstr>
      <vt:lpstr>MTPO_Val_Elev</vt:lpstr>
      <vt:lpstr>MTPO_Val_In</vt:lpstr>
      <vt:lpstr>MTPO_Val_Out</vt:lpstr>
      <vt:lpstr>RangeName</vt:lpstr>
      <vt:lpstr>SlotID</vt:lpstr>
      <vt:lpstr>SlotName</vt:lpstr>
      <vt:lpstr>TFMS_BM_Elev</vt:lpstr>
      <vt:lpstr>TFMS_BM_In</vt:lpstr>
      <vt:lpstr>TFMS_BM_Out</vt:lpstr>
      <vt:lpstr>TFMS_BM_Spill</vt:lpstr>
      <vt:lpstr>TFMS_BMIn_Unreg</vt:lpstr>
      <vt:lpstr>TFMS_CAP_DivReq</vt:lpstr>
      <vt:lpstr>TFMS_Cry_Elev</vt:lpstr>
      <vt:lpstr>TFMS_Cry_Out</vt:lpstr>
      <vt:lpstr>TFMS_Cry_Spill</vt:lpstr>
      <vt:lpstr>TFMS_FG_Elev</vt:lpstr>
      <vt:lpstr>TFMS_FG_In</vt:lpstr>
      <vt:lpstr>TFMS_FG_Out</vt:lpstr>
      <vt:lpstr>TFMS_FG_Spill</vt:lpstr>
      <vt:lpstr>TFMS_FGIn_Unreg</vt:lpstr>
      <vt:lpstr>TFMS_Font_Elev</vt:lpstr>
      <vt:lpstr>TFMS_Font_In</vt:lpstr>
      <vt:lpstr>TFMS_Font_Out</vt:lpstr>
      <vt:lpstr>TFMS_Font_Spill</vt:lpstr>
      <vt:lpstr>TFMS_Hav_Egy</vt:lpstr>
      <vt:lpstr>TFMS_Hav_Elev</vt:lpstr>
      <vt:lpstr>TFMS_Hav_Out</vt:lpstr>
      <vt:lpstr>TFMS_Md_Egy</vt:lpstr>
      <vt:lpstr>TFMS_Md_Elev</vt:lpstr>
      <vt:lpstr>TFMS_Md_Out</vt:lpstr>
      <vt:lpstr>TFMS_Mo_Egy</vt:lpstr>
      <vt:lpstr>TFMS_Mo_Elev</vt:lpstr>
      <vt:lpstr>TFMS_Mo_Out</vt:lpstr>
      <vt:lpstr>TFMS_MWD_DivReq</vt:lpstr>
      <vt:lpstr>TFMS_Nav_Elev</vt:lpstr>
      <vt:lpstr>TFMS_Nav_In</vt:lpstr>
      <vt:lpstr>TFMS_Nav_Out</vt:lpstr>
      <vt:lpstr>TFMS_Nav_Spill</vt:lpstr>
      <vt:lpstr>TFMS_NavIn_Unreg</vt:lpstr>
      <vt:lpstr>TFMS_Pow_Elev</vt:lpstr>
      <vt:lpstr>TFMS_Pow_Evap</vt:lpstr>
      <vt:lpstr>TFMS_Pow_In</vt:lpstr>
      <vt:lpstr>TFMS_Pow_Out</vt:lpstr>
      <vt:lpstr>TFMS_Pow_Spill</vt:lpstr>
      <vt:lpstr>TFMS_Pow_Storage</vt:lpstr>
      <vt:lpstr>TFMS_PowIn_Unreg</vt:lpstr>
      <vt:lpstr>TFMS_SNWP_DivReq</vt:lpstr>
      <vt:lpstr>TFMS_TP_Elev</vt:lpstr>
      <vt:lpstr>TFMS_TP_In</vt:lpstr>
      <vt:lpstr>TFMS_TP_Out</vt:lpstr>
      <vt:lpstr>TFMS_Val_Elev</vt:lpstr>
      <vt:lpstr>TFMS_Val_In</vt:lpstr>
      <vt:lpstr>TFMS_Val_Out</vt:lpstr>
      <vt:lpstr>TFTime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Shane</dc:creator>
  <cp:lastModifiedBy>Alex Pivarnik</cp:lastModifiedBy>
  <dcterms:created xsi:type="dcterms:W3CDTF">2006-09-16T00:00:00Z</dcterms:created>
  <dcterms:modified xsi:type="dcterms:W3CDTF">2020-12-15T20:53:25Z</dcterms:modified>
</cp:coreProperties>
</file>